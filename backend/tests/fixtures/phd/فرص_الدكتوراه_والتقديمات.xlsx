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" sheetId="1" state="visible" r:id="rId3"/>
    <sheet name="الفرص" sheetId="2" state="visible" r:id="rId4"/>
    <sheet name="المواعيد القادمة" sheetId="3" state="visible" r:id="rId5"/>
    <sheet name="المراجع والوثائق" sheetId="4" state="visible" r:id="rId6"/>
    <sheet name="خطة 30 يوماً" sheetId="5" state="visible" r:id="rId7"/>
  </sheets>
  <definedNames>
    <definedName function="false" hidden="true" localSheetId="1" name="_xlnm._FilterDatabase" vbProcedure="false">الفرص!$A$1:$M$131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<sst xmlns="http://schemas.openxmlformats.org/spreadsheetml/2006/main" count="1326" uniqueCount="618">
  <si>
    <t xml:space="preserve">ملخص فرص الدكتوراه والتقديمات – عبد الله بن عيشة</t>
  </si>
  <si>
    <t xml:space="preserve">التاريخ اليوم:</t>
  </si>
  <si>
    <t xml:space="preserve">إجمالي الفرص المسجلة:</t>
  </si>
  <si>
    <t xml:space="preserve">حسب الحالة</t>
  </si>
  <si>
    <t xml:space="preserve">حسب الأولوية</t>
  </si>
  <si>
    <t xml:space="preserve">مُقدَّم رسمياً</t>
  </si>
  <si>
    <t xml:space="preserve">عالية</t>
  </si>
  <si>
    <t xml:space="preserve">مُرسل – بانتظار الرد</t>
  </si>
  <si>
    <t xml:space="preserve">متوسطة</t>
  </si>
  <si>
    <t xml:space="preserve">جاهز (لم يُرسل)</t>
  </si>
  <si>
    <t xml:space="preserve">منخفضة</t>
  </si>
  <si>
    <t xml:space="preserve">لم يُتواصل بعد</t>
  </si>
  <si>
    <t xml:space="preserve">يحتاج تحقق</t>
  </si>
  <si>
    <t xml:space="preserve">عالية ولم تُرسل/تحتاج تحقق</t>
  </si>
  <si>
    <t xml:space="preserve">مراقبة / موسمي</t>
  </si>
  <si>
    <t xml:space="preserve">مواعيد خلال 30 يوماً</t>
  </si>
  <si>
    <t xml:space="preserve">فائت / انتهى الموعد</t>
  </si>
  <si>
    <t xml:space="preserve">مرفوض</t>
  </si>
  <si>
    <t xml:space="preserve">مغلق / مستبعد</t>
  </si>
  <si>
    <t xml:space="preserve">المجموع</t>
  </si>
  <si>
    <t xml:space="preserve">ملاحظات مهمة</t>
  </si>
  <si>
    <t xml:space="preserve">1) الحالات مبنية على آخر ما سجّلناه (حتى أواخر سبتمبر 2026) + فحص ويب 07.10.2026؛ كثير من المواعيد انقضت – راجع عمود 'يحتاج تحقق'.</t>
  </si>
  <si>
    <t xml:space="preserve">2) لم أتمكن من الوصول إلى ملفات الإكسل القديمة في هذه المحادثة؛ الملف مبني على سجلاتي. أعد رفعها وسأدمجها فوراً.</t>
  </si>
  <si>
    <t xml:space="preserve">3) الفرص المعلّمة 'جديد 07.10.2026' مصدرها بحث ويب ويجب التحقق منها قبل الإرسال.</t>
  </si>
  <si>
    <t xml:space="preserve">4) أبرز المفاتيح: CASA Bochum، SprintML، UNB CIC، HKPFS/SINGA (01.12)، مقابلات HPI (19–30.10).</t>
  </si>
  <si>
    <t xml:space="preserve">5) ورقة 'الفرص' فيها فلتر؛ عمود الأيام المتبقية يتحدّث تلقائياً (سالب = فات الموعد).</t>
  </si>
  <si>
    <t xml:space="preserve">#</t>
  </si>
  <si>
    <t xml:space="preserve">الدولة</t>
  </si>
  <si>
    <t xml:space="preserve">المؤسسة / المجموعة</t>
  </si>
  <si>
    <t xml:space="preserve">المشرف / البرنامج</t>
  </si>
  <si>
    <t xml:space="preserve">النوع</t>
  </si>
  <si>
    <t xml:space="preserve">الموعد النهائي</t>
  </si>
  <si>
    <t xml:space="preserve">ملاحظة الموعد</t>
  </si>
  <si>
    <t xml:space="preserve">الأيام المتبقية</t>
  </si>
  <si>
    <t xml:space="preserve">الحالة</t>
  </si>
  <si>
    <t xml:space="preserve">الأولوية</t>
  </si>
  <si>
    <t xml:space="preserve">الإجراء التالي</t>
  </si>
  <si>
    <t xml:space="preserve">الرابط / الاتصال</t>
  </si>
  <si>
    <t xml:space="preserve">ملاحظات</t>
  </si>
  <si>
    <t xml:space="preserve">ألمانيا</t>
  </si>
  <si>
    <t xml:space="preserve">Ruhr-Universität Bochum – CASA (Görtz Institute)</t>
  </si>
  <si>
    <t xml:space="preserve">Cluster of Excellence CASA – 'Automatic Vulnerability Discovery' + ~100 منصب early-career</t>
  </si>
  <si>
    <t xml:space="preserve">وظيفة دكتوراه معلنة</t>
  </si>
  <si>
    <t xml:space="preserve">مفتوح/مستمر (راقب البوابة)</t>
  </si>
  <si>
    <t xml:space="preserve">افتح بوابة الوظائف وقدّم مباشرة على منصب Vulnerability Discovery + تواصل مع منسق hub</t>
  </si>
  <si>
    <t xml:space="preserve">casa.rub.de/en/jobs/doctoral-and-postdoctoral-positions</t>
  </si>
  <si>
    <t xml:space="preserve">موضوع قريب جداً من SecuraX؛ تمويل DFG €53M (2026-2032)؛ Christof Paar منسق hub</t>
  </si>
  <si>
    <t xml:space="preserve">CISPA – SprintML</t>
  </si>
  <si>
    <t xml:space="preserve">Boenisch / Dziedzic</t>
  </si>
  <si>
    <t xml:space="preserve">قبول مستمر (rolling)</t>
  </si>
  <si>
    <t xml:space="preserve">قدّم الآن (الخطوة التالية المسجلة)</t>
  </si>
  <si>
    <t xml:space="preserve">لا موعد نهائي ثابت؛ آخر تحقق من الصلاحية 15.08.2026</t>
  </si>
  <si>
    <t xml:space="preserve">CISPA</t>
  </si>
  <si>
    <t xml:space="preserve">Ali Abbasi</t>
  </si>
  <si>
    <t xml:space="preserve">تواصل مباشر مع أستاذ</t>
  </si>
  <si>
    <t xml:space="preserve">—</t>
  </si>
  <si>
    <t xml:space="preserve">انتظر النداء العام لـ CISPA وتحقق منه</t>
  </si>
  <si>
    <t xml:space="preserve">تقديم مُرسل (تطابق ضعيف)؛ رد رسمي: لا منصب غير مطلوب حالياً</t>
  </si>
  <si>
    <t xml:space="preserve">Initiative application (يذكر Holz/Cremers/Stock)</t>
  </si>
  <si>
    <t xml:space="preserve">متابعة / تحقق من النداء العام (كان متوقعاً أغسطس 2026)</t>
  </si>
  <si>
    <t xml:space="preserve">Singh</t>
  </si>
  <si>
    <t xml:space="preserve">لا شيء – الإعلان سُحب قبل التقديم</t>
  </si>
  <si>
    <t xml:space="preserve">لم تُرسل</t>
  </si>
  <si>
    <t xml:space="preserve">Cremers</t>
  </si>
  <si>
    <t xml:space="preserve">متابعة (follow-up)</t>
  </si>
  <si>
    <t xml:space="preserve">Stock</t>
  </si>
  <si>
    <t xml:space="preserve">HPI Potsdam</t>
  </si>
  <si>
    <t xml:space="preserve">High-Assurance Systems – Chuengsatiansup</t>
  </si>
  <si>
    <t xml:space="preserve">المقابلات 19–30.10.2026</t>
  </si>
  <si>
    <t xml:space="preserve">جهّز للمقابلة (إنجليزية شفهية) واحتفظ بعبارة التأجيل جاهزة</t>
  </si>
  <si>
    <t xml:space="preserve">قد تأتي دعوة مقابلة في أي لحظة</t>
  </si>
  <si>
    <t xml:space="preserve">KriKom-LK-MEI (Dörr)</t>
  </si>
  <si>
    <t xml:space="preserve">انتظار الرد</t>
  </si>
  <si>
    <t xml:space="preserve">قُدّم 11.08.2026</t>
  </si>
  <si>
    <t xml:space="preserve">ReDiKom (Dörr)</t>
  </si>
  <si>
    <t xml:space="preserve">مجموعة Side-channel / Cryptography</t>
  </si>
  <si>
    <t xml:space="preserve">لا شيء</t>
  </si>
  <si>
    <t xml:space="preserve">لا تمويل مخصص للطلاب من خارج الاتحاد الأوروبي</t>
  </si>
  <si>
    <t xml:space="preserve">TU Darmstadt / ATHENE</t>
  </si>
  <si>
    <t xml:space="preserve">Michael Waidner</t>
  </si>
  <si>
    <t xml:space="preserve">Matthias Hollick</t>
  </si>
  <si>
    <t xml:space="preserve">Konrad Rieck</t>
  </si>
  <si>
    <t xml:space="preserve">رد آلي: عودة 10.08</t>
  </si>
  <si>
    <t xml:space="preserve">متابعة (follow-up) – مضى موعد عودته</t>
  </si>
  <si>
    <t xml:space="preserve">Claudia Eckert</t>
  </si>
  <si>
    <t xml:space="preserve">RUB / MPI</t>
  </si>
  <si>
    <t xml:space="preserve">Christof Paar</t>
  </si>
  <si>
    <t xml:space="preserve">متابعة + ربط الرسالة بـ CASA</t>
  </si>
  <si>
    <t xml:space="preserve">منسق hub في CASA</t>
  </si>
  <si>
    <t xml:space="preserve">TU Darmstadt</t>
  </si>
  <si>
    <t xml:space="preserve">Ahmad-Reza Sadeghi</t>
  </si>
  <si>
    <t xml:space="preserve">Fischer</t>
  </si>
  <si>
    <t xml:space="preserve">رد آلي: عودة 17.08</t>
  </si>
  <si>
    <t xml:space="preserve">متابعة (follow-up) – أُرسل 02.08</t>
  </si>
  <si>
    <t xml:space="preserve">Joachim Posegga</t>
  </si>
  <si>
    <t xml:space="preserve">تحقق من التقاعد/الرفض من مصدر رسمي</t>
  </si>
  <si>
    <t xml:space="preserve">وثيقة خارجية تذكر تقاعده/رفضه – غير مؤكد</t>
  </si>
  <si>
    <t xml:space="preserve">Christoph Krauß</t>
  </si>
  <si>
    <t xml:space="preserve">DAAD</t>
  </si>
  <si>
    <t xml:space="preserve">Research Grants (حوالي €1400/شهر حتى 4 سنوات)</t>
  </si>
  <si>
    <t xml:space="preserve">منحة / برنامج</t>
  </si>
  <si>
    <t xml:space="preserve">يتطلب مشرفاً ألمانياً مقبولاً مسبقاً</t>
  </si>
  <si>
    <t xml:space="preserve">راقب الدورة القادمة وجهّز مشرفاً مسبقاً</t>
  </si>
  <si>
    <t xml:space="preserve">daad.de</t>
  </si>
  <si>
    <t xml:space="preserve">لم يُسجَّل تقديم؛ منح الماجستير غير مناسبة (لديك ماجستير)</t>
  </si>
  <si>
    <t xml:space="preserve">BTU Cottbus</t>
  </si>
  <si>
    <t xml:space="preserve">Panchenko</t>
  </si>
  <si>
    <t xml:space="preserve">تواصل (هدف بديل لـ DAAD)</t>
  </si>
  <si>
    <t xml:space="preserve">Regensburg</t>
  </si>
  <si>
    <t xml:space="preserve">Pernul (REINSIST)</t>
  </si>
  <si>
    <t xml:space="preserve">TU Chemnitz</t>
  </si>
  <si>
    <t xml:space="preserve">Bauschert</t>
  </si>
  <si>
    <t xml:space="preserve">HAW Hamburg</t>
  </si>
  <si>
    <t xml:space="preserve">Schmidt</t>
  </si>
  <si>
    <t xml:space="preserve">Bremen</t>
  </si>
  <si>
    <t xml:space="preserve">Sohr</t>
  </si>
  <si>
    <t xml:space="preserve">ATHENE / UKP Lab Darmstadt</t>
  </si>
  <si>
    <t xml:space="preserve">Gurevych</t>
  </si>
  <si>
    <t xml:space="preserve">استكشاف</t>
  </si>
  <si>
    <t xml:space="preserve">لم تُستكشف</t>
  </si>
  <si>
    <t xml:space="preserve">Doctoral Programmes / EPOS (مسار ماجستير بديل)</t>
  </si>
  <si>
    <t xml:space="preserve">تحقق من الدورة</t>
  </si>
  <si>
    <t xml:space="preserve">راقب إن قررت إعادة الماجستير</t>
  </si>
  <si>
    <t xml:space="preserve">ذُكر في خطة المسار المهني</t>
  </si>
  <si>
    <t xml:space="preserve">فرنسا</t>
  </si>
  <si>
    <t xml:space="preserve">Inria (Rennes) – WIDE</t>
  </si>
  <si>
    <t xml:space="preserve">ref 2026-10235</t>
  </si>
  <si>
    <t xml:space="preserve">تحقق إن كان قد قُدّم</t>
  </si>
  <si>
    <t xml:space="preserve">jobs.inria.fr</t>
  </si>
  <si>
    <t xml:space="preserve">لم يُسجّل تقديم؛ فريق الاتصال غير محدد</t>
  </si>
  <si>
    <t xml:space="preserve">ref 2026-10297</t>
  </si>
  <si>
    <t xml:space="preserve">تحقق من الحالة (الموعد انقضى)</t>
  </si>
  <si>
    <t xml:space="preserve">لم يُسجّل تقديم</t>
  </si>
  <si>
    <t xml:space="preserve">إيطاليا</t>
  </si>
  <si>
    <t xml:space="preserve">IMT Lucca (منسّق) – Ph.D.-CySec الوطني</t>
  </si>
  <si>
    <t xml:space="preserve">Cycle XLII, 2026/27 – ~31 مشروع (28 قابلة للاختيار)</t>
  </si>
  <si>
    <t xml:space="preserve">فاتت بسبب عطل تقني في PICA</t>
  </si>
  <si>
    <t xml:space="preserve">تحقق من الرد على إيميل 31.08 (phdapplications@imtlucca.it) وأعد المتابعة</t>
  </si>
  <si>
    <t xml:space="preserve">pica.cineca.it/imtlucca/imtlucca-phd-cyber-2026/ ; phdapplications@imtlucca.it</t>
  </si>
  <si>
    <t xml:space="preserve">أُرسل إيميل شرح وطلب معالجة 31.08.2026؛ Barbara Carminati وعدت بإبلاغ المدرسة الدكتورالية. رسالة Ferrari v3 جاهزة</t>
  </si>
  <si>
    <t xml:space="preserve">Insubria</t>
  </si>
  <si>
    <t xml:space="preserve">Elena Ferrari (#8/#31, LLM)</t>
  </si>
  <si>
    <t xml:space="preserve">اتصال بعد رد IMT؛ أرسل Motivation_Letter_Ferrari_IMTLucca_v3.docx إن طُلب</t>
  </si>
  <si>
    <t xml:space="preserve">أكدت أن المنصب مفتوح (04.08)</t>
  </si>
  <si>
    <t xml:space="preserve">Cagliari</t>
  </si>
  <si>
    <t xml:space="preserve">Giacinto (#18)</t>
  </si>
  <si>
    <t xml:space="preserve">رد متوقع 24.08</t>
  </si>
  <si>
    <t xml:space="preserve">متابعة (تأخر الرد)</t>
  </si>
  <si>
    <t xml:space="preserve">أُرسل 16.08</t>
  </si>
  <si>
    <t xml:space="preserve">CNR-ICAR</t>
  </si>
  <si>
    <t xml:space="preserve">Martinelli</t>
  </si>
  <si>
    <t xml:space="preserve">متابعة</t>
  </si>
  <si>
    <t xml:space="preserve">Udine</t>
  </si>
  <si>
    <t xml:space="preserve">Vincenzo Riccio (#25)</t>
  </si>
  <si>
    <t xml:space="preserve">قال: مفتوح حتى نهاية أغسطس</t>
  </si>
  <si>
    <t xml:space="preserve">متابعة – أُرسلت الرسالة والـ CV والكشوف</t>
  </si>
  <si>
    <t xml:space="preserve">ردّ إيجابياً</t>
  </si>
  <si>
    <t xml:space="preserve">Genova</t>
  </si>
  <si>
    <t xml:space="preserve">Armando</t>
  </si>
  <si>
    <t xml:space="preserve">IMT Lucca</t>
  </si>
  <si>
    <t xml:space="preserve">Costa–Prinetto / Costa</t>
  </si>
  <si>
    <t xml:space="preserve">تحقق مقابل القائمة الرسمية</t>
  </si>
  <si>
    <t xml:space="preserve">من قائمة قديمة</t>
  </si>
  <si>
    <t xml:space="preserve">Univ. Bari</t>
  </si>
  <si>
    <t xml:space="preserve">Caivano–Ragone / Appice (XAI)</t>
  </si>
  <si>
    <t xml:space="preserve">Univ. Padova (MSCA-DN SecReSy4You)</t>
  </si>
  <si>
    <t xml:space="preserve">Critical CPS Security &amp; Resilience – Context-Based Threat Detection</t>
  </si>
  <si>
    <t xml:space="preserve">العقد يبدأ 01.11.2026 – الموعد غير معروف</t>
  </si>
  <si>
    <t xml:space="preserve">افتح الإعلان وتحقق من الموعد والأهلية فوراً</t>
  </si>
  <si>
    <t xml:space="preserve">math.unipd.it/news/selection-announcement-for-n-1-doctoral-researcher-to-work-on-the-secresy4you-msca-doctoral-network-project/</t>
  </si>
  <si>
    <t xml:space="preserve">جديد – بحث 07.10.2026؛ Grant 101227389؛ 36 شهراً؛ احتمال كبير أن الموعد انتهى</t>
  </si>
  <si>
    <t xml:space="preserve">سويسرا</t>
  </si>
  <si>
    <t xml:space="preserve">EPFL – CYD Doctoral Fellowship</t>
  </si>
  <si>
    <t xml:space="preserve">Stage 1 (CYD2002461)</t>
  </si>
  <si>
    <t xml:space="preserve">Stage 2: 01.10.2026</t>
  </si>
  <si>
    <t xml:space="preserve">لا شيء – رُفض 12.09.2026</t>
  </si>
  <si>
    <t xml:space="preserve">لم تُقبل للمرحلة 2؛ دورة جديدة محتملة – راقب</t>
  </si>
  <si>
    <t xml:space="preserve">Swiss Government</t>
  </si>
  <si>
    <t xml:space="preserve">Excellence Scholarship (بوابة فُتحت 20.08.2026)</t>
  </si>
  <si>
    <t xml:space="preserve">الموعد غير مسجل</t>
  </si>
  <si>
    <t xml:space="preserve">تحقق من الموعد النهائي ومتطلبات الأستاذ المضيف</t>
  </si>
  <si>
    <t xml:space="preserve">ETH Zürich</t>
  </si>
  <si>
    <t xml:space="preserve">Adrian Perrig</t>
  </si>
  <si>
    <t xml:space="preserve">أُرسل 01.08.2026</t>
  </si>
  <si>
    <t xml:space="preserve">EPFL</t>
  </si>
  <si>
    <t xml:space="preserve">Jean-Pierre Hubaux</t>
  </si>
  <si>
    <t xml:space="preserve">David Basin</t>
  </si>
  <si>
    <t xml:space="preserve">Srdjan Čapkun</t>
  </si>
  <si>
    <t xml:space="preserve">السويد</t>
  </si>
  <si>
    <t xml:space="preserve">KTH</t>
  </si>
  <si>
    <t xml:space="preserve">Panos Papadimitratos</t>
  </si>
  <si>
    <t xml:space="preserve">مُدّد الموعد (Eva Bothén 19.08)</t>
  </si>
  <si>
    <t xml:space="preserve">انتظار الرد؛ جهّز تقرير HexaGuard التقني</t>
  </si>
  <si>
    <t xml:space="preserve">Karlstad University</t>
  </si>
  <si>
    <t xml:space="preserve">DRIVE (Mullvad VPN, REK2026/147)</t>
  </si>
  <si>
    <t xml:space="preserve">منصب LLM آمن / RAG محلي</t>
  </si>
  <si>
    <t xml:space="preserve">تحقق من الإعلان وتواصل</t>
  </si>
  <si>
    <t xml:space="preserve">لم يُتحقق منه ولم يُتواصل</t>
  </si>
  <si>
    <t xml:space="preserve">Chalmers</t>
  </si>
  <si>
    <t xml:space="preserve">Sabelfeld</t>
  </si>
  <si>
    <t xml:space="preserve">Continuous Compliance (Explainable AI / CI-CD)</t>
  </si>
  <si>
    <t xml:space="preserve">تحقق من الموعد</t>
  </si>
  <si>
    <t xml:space="preserve">مرصود ولم يُتابع</t>
  </si>
  <si>
    <t xml:space="preserve">Örebro University / WASP</t>
  </si>
  <si>
    <t xml:space="preserve">Cybersecurity for embodied AI/robots</t>
  </si>
  <si>
    <t xml:space="preserve">رُصد متأخراً</t>
  </si>
  <si>
    <t xml:space="preserve">بلجيكا</t>
  </si>
  <si>
    <t xml:space="preserve">KU Leuven – DistriNet</t>
  </si>
  <si>
    <t xml:space="preserve">Singelée (physical-layer security)</t>
  </si>
  <si>
    <t xml:space="preserve">KU Leuven</t>
  </si>
  <si>
    <t xml:space="preserve">Naessens (vuln prioritization)</t>
  </si>
  <si>
    <t xml:space="preserve">متابعة – أفضل تطابق موضوعي</t>
  </si>
  <si>
    <t xml:space="preserve">أُرسل في الدقائق الأخيرة</t>
  </si>
  <si>
    <t xml:space="preserve">إسبانيا</t>
  </si>
  <si>
    <t xml:space="preserve">IMDEA Networks</t>
  </si>
  <si>
    <t xml:space="preserve">Vallina-Rodríguez / Suárez-Tangil</t>
  </si>
  <si>
    <t xml:space="preserve">قُدّم 10.08.2026؛ المراجع: Bouras/Amraoui/Attir/Saoudi</t>
  </si>
  <si>
    <t xml:space="preserve">فنلندا</t>
  </si>
  <si>
    <t xml:space="preserve">University of Turku</t>
  </si>
  <si>
    <t xml:space="preserve">Kaitai Liang – Generative AI for Cyber Protection / Vulnerability Detection</t>
  </si>
  <si>
    <t xml:space="preserve">16:00 هلسنكي</t>
  </si>
  <si>
    <t xml:space="preserve">تحقق هل قُدّم؛ إن لم يُقدَّم فاتصل بالمشرف مباشرة</t>
  </si>
  <si>
    <t xml:space="preserve">ats.talentadore.com/apply/doctoral-researcher-in-generative-ai-for-cyber-protection-malware-analysis-and-vulnerability-detection/DGyX4g</t>
  </si>
  <si>
    <t xml:space="preserve">الرسالة والخطة جاهزتان</t>
  </si>
  <si>
    <t xml:space="preserve">Privacy-Preserving Federated Learning &amp; Trustworthy AI</t>
  </si>
  <si>
    <t xml:space="preserve">تحقق / تواصل</t>
  </si>
  <si>
    <t xml:space="preserve">لم يُتصل (رُصد 23.08)</t>
  </si>
  <si>
    <t xml:space="preserve">LLM Privacy &amp; Security</t>
  </si>
  <si>
    <t xml:space="preserve">كوريا الجنوبية</t>
  </si>
  <si>
    <t xml:space="preserve">KAIST</t>
  </si>
  <si>
    <t xml:space="preserve">Min Suk Kang</t>
  </si>
  <si>
    <t xml:space="preserve">minsukk@kaist.ac.kr</t>
  </si>
  <si>
    <t xml:space="preserve">أُرسل 15.08.2026</t>
  </si>
  <si>
    <t xml:space="preserve">Seungwon Shin</t>
  </si>
  <si>
    <t xml:space="preserve">تواصل</t>
  </si>
  <si>
    <t xml:space="preserve">لم يُتصل</t>
  </si>
  <si>
    <t xml:space="preserve">KAIST / POSTECH / UNIST / GIST / DGIST</t>
  </si>
  <si>
    <t xml:space="preserve">تمويل تلقائي لكل مقبول</t>
  </si>
  <si>
    <t xml:space="preserve">مواعيد أغسطس–أكتوبر 2026</t>
  </si>
  <si>
    <t xml:space="preserve">تحقق فوراً من مواعيد المعاهد الخمسة المتبقية</t>
  </si>
  <si>
    <t xml:space="preserve">قد يكون بعضها لا يزال مفتوحاً</t>
  </si>
  <si>
    <t xml:space="preserve">GKS (منحة حكومية)</t>
  </si>
  <si>
    <t xml:space="preserve">Global Korea Scholarship</t>
  </si>
  <si>
    <t xml:space="preserve">فبراير–أبريل 2027</t>
  </si>
  <si>
    <t xml:space="preserve">تحضير الملف مسبقاً</t>
  </si>
  <si>
    <t xml:space="preserve">هونغ كونغ</t>
  </si>
  <si>
    <t xml:space="preserve">HKUST – AIS2Lab</t>
  </si>
  <si>
    <t xml:space="preserve">Daoyuan Wu – HKPFS (≈HK$340,800/سنة)</t>
  </si>
  <si>
    <t xml:space="preserve">الدورة 2027/28 فُتحت 01.09.2026</t>
  </si>
  <si>
    <t xml:space="preserve">راسل Daoyuan Wu الآن (يتطلب جهداً قبل 01.12)</t>
  </si>
  <si>
    <t xml:space="preserve">كل الجنسيات، 8 جامعات</t>
  </si>
  <si>
    <t xml:space="preserve">سنغافورة</t>
  </si>
  <si>
    <t xml:space="preserve">SIT</t>
  </si>
  <si>
    <t xml:space="preserve">Wei Zhang – SINGA</t>
  </si>
  <si>
    <t xml:space="preserve">راتب ≈ 2700–3200 SGD/شهر</t>
  </si>
  <si>
    <t xml:space="preserve">راسل Wei Zhang الآن</t>
  </si>
  <si>
    <t xml:space="preserve">تايوان</t>
  </si>
  <si>
    <t xml:space="preserve">NYCU / NTU</t>
  </si>
  <si>
    <t xml:space="preserve">تحتاج مشرفاً مؤكداً أولاً</t>
  </si>
  <si>
    <t xml:space="preserve">ابحث عن مشرف شبكات/أمن</t>
  </si>
  <si>
    <t xml:space="preserve">لا أستاذ شبكات محدد</t>
  </si>
  <si>
    <t xml:space="preserve">TIGP</t>
  </si>
  <si>
    <t xml:space="preserve">AI / Info Security / Networks-Systems</t>
  </si>
  <si>
    <t xml:space="preserve">دورة 2027 (فاتت دورة Fall 2026 في 01.02.2026)</t>
  </si>
  <si>
    <t xml:space="preserve">راقب فتح دورة 2027</t>
  </si>
  <si>
    <t xml:space="preserve">الصين</t>
  </si>
  <si>
    <t xml:space="preserve">Xidian University</t>
  </si>
  <si>
    <t xml:space="preserve">CSC 2027/28 (الأقوى)</t>
  </si>
  <si>
    <t xml:space="preserve">تفتح ديسمبر 2026 – تأجيل مقصود منك</t>
  </si>
  <si>
    <t xml:space="preserve">ابدأ البحث عن مشرف في ديسمبر</t>
  </si>
  <si>
    <t xml:space="preserve">BUPT / SJTU / UESTC</t>
  </si>
  <si>
    <t xml:space="preserve">CSC 2027/28</t>
  </si>
  <si>
    <t xml:space="preserve">ديسمبر 2026</t>
  </si>
  <si>
    <t xml:space="preserve">نفس الخطوة</t>
  </si>
  <si>
    <t xml:space="preserve">Tsinghua</t>
  </si>
  <si>
    <t xml:space="preserve">لجنة مركزية بلا اتصال فردي</t>
  </si>
  <si>
    <t xml:space="preserve">قدّم عبر CSC فقط</t>
  </si>
  <si>
    <t xml:space="preserve">كندا</t>
  </si>
  <si>
    <t xml:space="preserve">University of New Brunswick – CIC</t>
  </si>
  <si>
    <t xml:space="preserve">Sajjad Dadkhah (sdadkhah@unb.ca), Saqib Hakak, Fatemeh Khoda Parast, Kalikinkar Mandal</t>
  </si>
  <si>
    <t xml:space="preserve">إيميل مباشر الآن (أولوية قصوى)</t>
  </si>
  <si>
    <t xml:space="preserve">sdadkhah@unb.ca</t>
  </si>
  <si>
    <t xml:space="preserve">تصحيح 23.08: مشرفون نشطون، وإعلان MSc/PhD ممول مرصود</t>
  </si>
  <si>
    <t xml:space="preserve">University of Guelph – AI Security Lab</t>
  </si>
  <si>
    <t xml:space="preserve">Wenjing Zhang</t>
  </si>
  <si>
    <t xml:space="preserve">Winter/Fall 2026 – مستمر</t>
  </si>
  <si>
    <t xml:space="preserve">wzhang25@uoguelph.ca</t>
  </si>
  <si>
    <t xml:space="preserve">استلام مؤكد؛ يطلب CV + كشوف + statement + مرجعين</t>
  </si>
  <si>
    <t xml:space="preserve">University of Regina – DCAILab</t>
  </si>
  <si>
    <t xml:space="preserve">Agentic AI Security (Fall 2026)</t>
  </si>
  <si>
    <t xml:space="preserve">مرصود 23.08</t>
  </si>
  <si>
    <t xml:space="preserve">University of Waterloo – Cheriton</t>
  </si>
  <si>
    <t xml:space="preserve">Security &amp; Privacy – Securing LLM Agents</t>
  </si>
  <si>
    <t xml:space="preserve">استهدف أساتذة المجموعة (supervisor-first)</t>
  </si>
  <si>
    <t xml:space="preserve">منحة $254,116</t>
  </si>
  <si>
    <t xml:space="preserve">UBC</t>
  </si>
  <si>
    <t xml:space="preserve">CS/ECE security-privacy-AI (حد أدنى $40,000/سنة)</t>
  </si>
  <si>
    <t xml:space="preserve">حدد أساتذة وتواصل</t>
  </si>
  <si>
    <t xml:space="preserve">supervisor-driven</t>
  </si>
  <si>
    <t xml:space="preserve">University of Toronto</t>
  </si>
  <si>
    <t xml:space="preserve">PhD CS Fall 2027 – رسم خريطة الأساتذة</t>
  </si>
  <si>
    <t xml:space="preserve">التقديم يفتح أكتوبر 2026</t>
  </si>
  <si>
    <t xml:space="preserve">ابدأ رسم الأساتذة الآن</t>
  </si>
  <si>
    <t xml:space="preserve">تضم Papernot (Vector) – منافسة شديدة</t>
  </si>
  <si>
    <t xml:space="preserve">Concordia – SRC</t>
  </si>
  <si>
    <t xml:space="preserve">Debbabi / Majumdar / Yan</t>
  </si>
  <si>
    <t xml:space="preserve">3 إيميلات 16–17.08</t>
  </si>
  <si>
    <t xml:space="preserve">Concordia – ARC</t>
  </si>
  <si>
    <t xml:space="preserve">Majumdar + Lingyu Wang</t>
  </si>
  <si>
    <t xml:space="preserve">University of Saskatchewan</t>
  </si>
  <si>
    <t xml:space="preserve">Stakhanova</t>
  </si>
  <si>
    <t xml:space="preserve">16.08</t>
  </si>
  <si>
    <t xml:space="preserve">University of Calgary</t>
  </si>
  <si>
    <t xml:space="preserve">Rouhani</t>
  </si>
  <si>
    <t xml:space="preserve">Winter 2027</t>
  </si>
  <si>
    <t xml:space="preserve">Mazmudar</t>
  </si>
  <si>
    <t xml:space="preserve">منصب Fall 2026 مغلق؛ أُعيد الاتصال 17.08</t>
  </si>
  <si>
    <t xml:space="preserve">University of Ottawa</t>
  </si>
  <si>
    <t xml:space="preserve">Shirani</t>
  </si>
  <si>
    <t xml:space="preserve">Jourdan</t>
  </si>
  <si>
    <t xml:space="preserve">رسالة مخصصة جداً</t>
  </si>
  <si>
    <t xml:space="preserve">تمويل محدود؛ لا يرد على الرسائل العامة</t>
  </si>
  <si>
    <t xml:space="preserve">York University</t>
  </si>
  <si>
    <t xml:space="preserve">Lashkari</t>
  </si>
  <si>
    <t xml:space="preserve">Carleton University</t>
  </si>
  <si>
    <t xml:space="preserve">Jaskolka</t>
  </si>
  <si>
    <t xml:space="preserve">CV + Statement 17.08</t>
  </si>
  <si>
    <t xml:space="preserve">Somayaji, Van Oorschot, Zhao, Matrawy</t>
  </si>
  <si>
    <t xml:space="preserve">Ontario Tech – ANTS Lab</t>
  </si>
  <si>
    <t xml:space="preserve">Li Yang (+ Heydari, El-Khatib)</t>
  </si>
  <si>
    <t xml:space="preserve">عبر Google Form فقط</t>
  </si>
  <si>
    <t xml:space="preserve">املأ Google Form</t>
  </si>
  <si>
    <t xml:space="preserve">University of Victoria – ISOT</t>
  </si>
  <si>
    <t xml:space="preserve">Issa Traoré</t>
  </si>
  <si>
    <t xml:space="preserve">Queen's University</t>
  </si>
  <si>
    <t xml:space="preserve">Zulkernine, Ni</t>
  </si>
  <si>
    <t xml:space="preserve">NSERC CREATE مغلق</t>
  </si>
  <si>
    <t xml:space="preserve">Polytechnique Montréal</t>
  </si>
  <si>
    <t xml:space="preserve">José Fernandez, Foutse Khomh</t>
  </si>
  <si>
    <t xml:space="preserve">McGill</t>
  </si>
  <si>
    <t xml:space="preserve">Benjamin Fung</t>
  </si>
  <si>
    <t xml:space="preserve">Dalhousie – NSERC CREATE</t>
  </si>
  <si>
    <t xml:space="preserve">Srini Sampalli + Nur Zincir-Heywood</t>
  </si>
  <si>
    <t xml:space="preserve">نشط حتى ~2030</t>
  </si>
  <si>
    <t xml:space="preserve">Toronto Metropolitan (TMU)</t>
  </si>
  <si>
    <t xml:space="preserve">Miri, Mashatan</t>
  </si>
  <si>
    <t xml:space="preserve">University of Manitoba</t>
  </si>
  <si>
    <t xml:space="preserve">Shaowei Wang, Tabiban</t>
  </si>
  <si>
    <t xml:space="preserve">ÉTS</t>
  </si>
  <si>
    <t xml:space="preserve">Sayagh</t>
  </si>
  <si>
    <t xml:space="preserve">University of Windsor</t>
  </si>
  <si>
    <t xml:space="preserve">Concordia</t>
  </si>
  <si>
    <t xml:space="preserve">Carol Fung, Mohammad Mannan, Amr Youssef</t>
  </si>
  <si>
    <t xml:space="preserve">تحقق من الأسماء قبل التواصل</t>
  </si>
  <si>
    <t xml:space="preserve">من ChatGPT – غير مؤكدة</t>
  </si>
  <si>
    <t xml:space="preserve">Rongxing Lu (مؤسسة غير مؤكدة), Anwar Haque (Western)</t>
  </si>
  <si>
    <t xml:space="preserve">تحقق من الأسماء</t>
  </si>
  <si>
    <t xml:space="preserve">SERENE-RISC</t>
  </si>
  <si>
    <t xml:space="preserve">دليل الباحثين الكندي</t>
  </si>
  <si>
    <t xml:space="preserve">نافذة موسمية</t>
  </si>
  <si>
    <t xml:space="preserve">مورد بحث</t>
  </si>
  <si>
    <t xml:space="preserve">serene-risc.ca</t>
  </si>
  <si>
    <t xml:space="preserve">الولايات المتحدة</t>
  </si>
  <si>
    <t xml:space="preserve">University of Rhode Island</t>
  </si>
  <si>
    <t xml:space="preserve">Hui Lin</t>
  </si>
  <si>
    <t xml:space="preserve">استلام مؤكد</t>
  </si>
  <si>
    <t xml:space="preserve">TCU</t>
  </si>
  <si>
    <t xml:space="preserve">Afia Anjum</t>
  </si>
  <si>
    <t xml:space="preserve">UC Irvine</t>
  </si>
  <si>
    <t xml:space="preserve">Alfred Chen</t>
  </si>
  <si>
    <t xml:space="preserve">Indiana University</t>
  </si>
  <si>
    <t xml:space="preserve">Hyungsub Kim (CPS security)</t>
  </si>
  <si>
    <t xml:space="preserve">حسب جدول IU لدورة Fall 2026/2027</t>
  </si>
  <si>
    <t xml:space="preserve">تحقق من الدورة القادمة</t>
  </si>
  <si>
    <t xml:space="preserve">kimhyungsub.github.io</t>
  </si>
  <si>
    <t xml:space="preserve">تطابق ضعيف؛ إعلان ممول RA/TA</t>
  </si>
  <si>
    <t xml:space="preserve">بريطانيا</t>
  </si>
  <si>
    <t xml:space="preserve">Lancaster</t>
  </si>
  <si>
    <t xml:space="preserve">Race/Austin, Yao, Prince (CSRG)</t>
  </si>
  <si>
    <t xml:space="preserve">استلام مؤكد؛ تمويل دولي محدود</t>
  </si>
  <si>
    <t xml:space="preserve">University of Edinburgh</t>
  </si>
  <si>
    <t xml:space="preserve">Newcastle University</t>
  </si>
  <si>
    <t xml:space="preserve">PhD 'Policy-Compliant Secure AI' (£21,805/سنة)</t>
  </si>
  <si>
    <t xml:space="preserve">تحقق من أهلية الدولي ('100% Home fees') قبل التقديم</t>
  </si>
  <si>
    <t xml:space="preserve">رُصد 23.08</t>
  </si>
  <si>
    <t xml:space="preserve">أيرلندا</t>
  </si>
  <si>
    <t xml:space="preserve">Trinity College Dublin</t>
  </si>
  <si>
    <t xml:space="preserve">Centre for Digital Security &amp; Societal Resilience (Marco Ruffini)</t>
  </si>
  <si>
    <t xml:space="preserve">مركز جديد أبريل 2026</t>
  </si>
  <si>
    <t xml:space="preserve">CONNECT Centre (SFI)</t>
  </si>
  <si>
    <t xml:space="preserve">≈250 باحث/10 مؤسسات</t>
  </si>
  <si>
    <t xml:space="preserve">تواصل (supervisor-first)</t>
  </si>
  <si>
    <t xml:space="preserve">لوكسمبورغ</t>
  </si>
  <si>
    <t xml:space="preserve">SnT – University of Luxembourg</t>
  </si>
  <si>
    <t xml:space="preserve">Lenders – Network Traffic Obfuscation (ID 243588)</t>
  </si>
  <si>
    <t xml:space="preserve">استلام مؤكد؛ لا قيد جنسية</t>
  </si>
  <si>
    <t xml:space="preserve">SnT</t>
  </si>
  <si>
    <t xml:space="preserve">SEDAN</t>
  </si>
  <si>
    <t xml:space="preserve">accusé de réception</t>
  </si>
  <si>
    <t xml:space="preserve">إستونيا</t>
  </si>
  <si>
    <t xml:space="preserve">University of Tartu</t>
  </si>
  <si>
    <t xml:space="preserve">Pfahl, Rahkema, Shah</t>
  </si>
  <si>
    <t xml:space="preserve">11.08.2026</t>
  </si>
  <si>
    <t xml:space="preserve">البرتغال</t>
  </si>
  <si>
    <t xml:space="preserve">LASIGE – Lisboa</t>
  </si>
  <si>
    <t xml:space="preserve">Cogo</t>
  </si>
  <si>
    <t xml:space="preserve">هولندا</t>
  </si>
  <si>
    <t xml:space="preserve">TU Delft</t>
  </si>
  <si>
    <t xml:space="preserve">NExTWORKx (شراكة KPN)</t>
  </si>
  <si>
    <t xml:space="preserve">الدورة القادمة</t>
  </si>
  <si>
    <t xml:space="preserve">راقب</t>
  </si>
  <si>
    <t xml:space="preserve">Internet Measurement &amp; Systems for Cybersecurity</t>
  </si>
  <si>
    <t xml:space="preserve">تحقق</t>
  </si>
  <si>
    <t xml:space="preserve">مرصود ولم يُتابع؛ Griffioen انتهى 17.06.2026</t>
  </si>
  <si>
    <t xml:space="preserve">النرويج</t>
  </si>
  <si>
    <t xml:space="preserve">NTNU – IIK / CCIS / COINS</t>
  </si>
  <si>
    <t xml:space="preserve">~50 دكتورانتاً؛ دفعات 10 مناصب Information Security</t>
  </si>
  <si>
    <t xml:space="preserve">تواصل وتابع بوابة الوظائف</t>
  </si>
  <si>
    <t xml:space="preserve">ntnu.edu</t>
  </si>
  <si>
    <t xml:space="preserve">تصحيح 25.08: النرويج لم تُستبعد</t>
  </si>
  <si>
    <t xml:space="preserve">SFI NORCICS (NTNU)</t>
  </si>
  <si>
    <t xml:space="preserve">GenAI/Agentic AI in IIoT/OT</t>
  </si>
  <si>
    <t xml:space="preserve">الموعد السابق فات</t>
  </si>
  <si>
    <t xml:space="preserve">راقب الإعلان القادم</t>
  </si>
  <si>
    <t xml:space="preserve">PERSEUS (MSCA COFUND)</t>
  </si>
  <si>
    <t xml:space="preserve">40 منصباً، 12 شريكاً، ~€49,000/سنة</t>
  </si>
  <si>
    <t xml:space="preserve">الدورة المرصودة مغلقة</t>
  </si>
  <si>
    <t xml:space="preserve">راقب النداء القادم</t>
  </si>
  <si>
    <t xml:space="preserve">قاعدة التنقل: ≤12 شهراً في النرويج خلال 3 سنوات</t>
  </si>
  <si>
    <t xml:space="preserve">التشيك</t>
  </si>
  <si>
    <t xml:space="preserve">Masaryk University – CRoCS (Brno)</t>
  </si>
  <si>
    <t xml:space="preserve">Vashek Matyas</t>
  </si>
  <si>
    <t xml:space="preserve">matyas@fi.muni.cz</t>
  </si>
  <si>
    <t xml:space="preserve">بولندا</t>
  </si>
  <si>
    <t xml:space="preserve">AGH Kraków (مثال)</t>
  </si>
  <si>
    <t xml:space="preserve">لا نداء مفتوح</t>
  </si>
  <si>
    <t xml:space="preserve">إعادة فحص ~فبراير 2027</t>
  </si>
  <si>
    <t xml:space="preserve">أعد البحث</t>
  </si>
  <si>
    <t xml:space="preserve">الدنمارك</t>
  </si>
  <si>
    <t xml:space="preserve">Aalborg – Secure Embedded AI</t>
  </si>
  <si>
    <t xml:space="preserve">لم يُؤكد الإرسال</t>
  </si>
  <si>
    <t xml:space="preserve">على الأرجح فات</t>
  </si>
  <si>
    <t xml:space="preserve">Aalborg – AI:DEFENCE</t>
  </si>
  <si>
    <t xml:space="preserve">Johannes Bjerva</t>
  </si>
  <si>
    <t xml:space="preserve">الرابط يعرض 'position not found'</t>
  </si>
  <si>
    <t xml:space="preserve">راسله للتأكد</t>
  </si>
  <si>
    <t xml:space="preserve">jbjerva@cs.aau.dk</t>
  </si>
  <si>
    <t xml:space="preserve">Copenhagen – CopeNLU</t>
  </si>
  <si>
    <t xml:space="preserve">ذُكر مرة واحدة</t>
  </si>
  <si>
    <t xml:space="preserve">Aarhus – A3 Lab</t>
  </si>
  <si>
    <t xml:space="preserve">Test-Time Model Adaptation in Edge Environments</t>
  </si>
  <si>
    <t xml:space="preserve">علاقة غير مباشرة بالأمن</t>
  </si>
  <si>
    <t xml:space="preserve">الاتحاد الأوروبي</t>
  </si>
  <si>
    <t xml:space="preserve">MSCA Doctoral Networks – نداء الكونسورتيوم</t>
  </si>
  <si>
    <t xml:space="preserve">ابحث عن: security / resilience / trustworthy AI / critical infrastructure</t>
  </si>
  <si>
    <t xml:space="preserve">المناصب الفردية 2026 تُنشر بعد أبريل 2027</t>
  </si>
  <si>
    <t xml:space="preserve">افحص EURAXESS أسبوعياً بهذه الكلمات</t>
  </si>
  <si>
    <t xml:space="preserve">euraxess.ec.europa.eu</t>
  </si>
  <si>
    <t xml:space="preserve">EURAXESS: أكثر من 1300 منصب ممول مفتوح (13.08.2026)</t>
  </si>
  <si>
    <t xml:space="preserve">EU academic–industry collaboration</t>
  </si>
  <si>
    <t xml:space="preserve">PhD ممول في GenAI آمن (federated learning + differential privacy + post-quantum)</t>
  </si>
  <si>
    <t xml:space="preserve">لم يُسترجع الرابط/الموعد</t>
  </si>
  <si>
    <t xml:space="preserve">أعد تحديد الإعلان</t>
  </si>
  <si>
    <t xml:space="preserve">مرصود 11.08</t>
  </si>
  <si>
    <t xml:space="preserve">اليابان</t>
  </si>
  <si>
    <t xml:space="preserve">MEXT</t>
  </si>
  <si>
    <t xml:space="preserve">منحة حكومية</t>
  </si>
  <si>
    <t xml:space="preserve">النافذة التالية أبريل–مايو 2027</t>
  </si>
  <si>
    <t xml:space="preserve">حضّر</t>
  </si>
  <si>
    <t xml:space="preserve">تركيا</t>
  </si>
  <si>
    <t xml:space="preserve">Türkiye Bursları</t>
  </si>
  <si>
    <t xml:space="preserve">منحة شاملة</t>
  </si>
  <si>
    <t xml:space="preserve">~15 يناير – ~20 فبراير 2027</t>
  </si>
  <si>
    <t xml:space="preserve">حضّر الملف</t>
  </si>
  <si>
    <t xml:space="preserve">turkiyeburslari.gov.tr</t>
  </si>
  <si>
    <t xml:space="preserve">الموعد تقريبي</t>
  </si>
  <si>
    <t xml:space="preserve">أستراليا</t>
  </si>
  <si>
    <t xml:space="preserve">University of Queensland – UQ Cyber</t>
  </si>
  <si>
    <t xml:space="preserve">منحة PhD ممولة (الكود CYBERSECURITY-KIM، $39,220/سنة)</t>
  </si>
  <si>
    <t xml:space="preserve">EOI فقط</t>
  </si>
  <si>
    <t xml:space="preserve">راقب جولة EOI القادمة</t>
  </si>
  <si>
    <t xml:space="preserve">study.uq.edu.au/study-options/phd-mphil-professional-doctorate/projects/uq-cyber-funded-phd-scholarships</t>
  </si>
  <si>
    <t xml:space="preserve">جديد 07.10.2026 – يتطلب موافقة مشرف</t>
  </si>
  <si>
    <t xml:space="preserve">Cyber Science Lab</t>
  </si>
  <si>
    <t xml:space="preserve">AI security / adversarial ML (سبتمبر 2026 أو يناير 2027)</t>
  </si>
  <si>
    <t xml:space="preserve">مستمر – يناير 2027 ممكن</t>
  </si>
  <si>
    <t xml:space="preserve">أرسل CV + كشوف الماجستير والليسانس</t>
  </si>
  <si>
    <t xml:space="preserve">careers@cybersciencelab.com</t>
  </si>
  <si>
    <t xml:space="preserve">جديد 07.10.2026 – تحقق من المصداقية والموقع قبل الإرسال</t>
  </si>
  <si>
    <t xml:space="preserve">متعدد</t>
  </si>
  <si>
    <t xml:space="preserve">Erasmus Mundus</t>
  </si>
  <si>
    <t xml:space="preserve">CYBERUS / CYBERSURE (ماجستير)</t>
  </si>
  <si>
    <t xml:space="preserve">خيار احتياطي لإعادة الماجستير</t>
  </si>
  <si>
    <t xml:space="preserve">SANS Paller / Cyber Secured Africa / CyberTalents-Trend Micro</t>
  </si>
  <si>
    <t xml:space="preserve">منح وتدريب</t>
  </si>
  <si>
    <t xml:space="preserve">خيار جانبي</t>
  </si>
  <si>
    <t xml:space="preserve">الجزائر</t>
  </si>
  <si>
    <t xml:space="preserve">Cotutelle</t>
  </si>
  <si>
    <t xml:space="preserve">أكاديمي جزائري مستعد للإشراف المشترك</t>
  </si>
  <si>
    <t xml:space="preserve">استخدمه كورقة قوة في الرسائل</t>
  </si>
  <si>
    <t xml:space="preserve">التاريخ</t>
  </si>
  <si>
    <t xml:space="preserve">الفرصة / الحدث</t>
  </si>
  <si>
    <t xml:space="preserve">الإجراء المطلوب</t>
  </si>
  <si>
    <t xml:space="preserve">ملاحظة</t>
  </si>
  <si>
    <t xml:space="preserve">بدء نافذة مقابلات HPI (19–30.10)</t>
  </si>
  <si>
    <t xml:space="preserve">تحضير إنجليزي شفهي + عبارة التأجيل</t>
  </si>
  <si>
    <t xml:space="preserve">إن وصلتك دعوة</t>
  </si>
  <si>
    <t xml:space="preserve">نهاية نافذة مقابلات HPI</t>
  </si>
  <si>
    <t xml:space="preserve">MSCA Doctoral Networks – إغلاق نداء الكونسورتيوم</t>
  </si>
  <si>
    <t xml:space="preserve">ابحث عن كونسورتيومات security/resilience/trustworthy AI</t>
  </si>
  <si>
    <t xml:space="preserve">المناصب تُعلن لاحقاً</t>
  </si>
  <si>
    <t xml:space="preserve">نتائج CYD النهائية (نهاية نوفمبر)</t>
  </si>
  <si>
    <t xml:space="preserve">لا شيء – طلبك رُفض</t>
  </si>
  <si>
    <t xml:space="preserve">HKPFS – هونغ كونغ (HKUST/Daoyuan Wu)</t>
  </si>
  <si>
    <t xml:space="preserve">إيميل للمشرف + ملف التقديم</t>
  </si>
  <si>
    <t xml:space="preserve">قبل الموعد بوقت كافٍ</t>
  </si>
  <si>
    <t xml:space="preserve">SINGA – سنغافورة (SIT/Wei Zhang)</t>
  </si>
  <si>
    <t xml:space="preserve">فتح دورة CSC الصينية 2027/28 (تقريبي)</t>
  </si>
  <si>
    <t xml:space="preserve">ابدأ مع Xidian/BUPT/SJTU/UESTC</t>
  </si>
  <si>
    <t xml:space="preserve">التاريخ تقريبي: ديسمبر 2026</t>
  </si>
  <si>
    <t xml:space="preserve">فتح Türkiye Bursları (تقريبي)</t>
  </si>
  <si>
    <t xml:space="preserve">تحضير الملف</t>
  </si>
  <si>
    <t xml:space="preserve">~15 يناير → ~20 فبراير 2027</t>
  </si>
  <si>
    <t xml:space="preserve">GKS كوريا (فبراير–أبريل) + إعادة فحص بولندا</t>
  </si>
  <si>
    <t xml:space="preserve">تقريبي</t>
  </si>
  <si>
    <t xml:space="preserve">إغلاق Türkiye Bursları (تقريبي)</t>
  </si>
  <si>
    <t xml:space="preserve">MEXT اليابان (أبريل–مايو) + MSCA فردية بعد أبريل 2027</t>
  </si>
  <si>
    <t xml:space="preserve">Toronto PhD CS Fall 2027 – يفتح أكتوبر 2026</t>
  </si>
  <si>
    <t xml:space="preserve">رسم الأساتذة الآن</t>
  </si>
  <si>
    <t xml:space="preserve">Swiss Government Excellence Scholarship</t>
  </si>
  <si>
    <t xml:space="preserve">البوابة فُتحت 20.08.2026</t>
  </si>
  <si>
    <t xml:space="preserve">معاهد كوريا الخمسة (أغسطس–أكتوبر 2026)</t>
  </si>
  <si>
    <t xml:space="preserve">تحقق فوراً</t>
  </si>
  <si>
    <t xml:space="preserve">قد يكون بعضها مفتوحاً</t>
  </si>
  <si>
    <t xml:space="preserve">CASA Bochum / SprintML / UNB CIC / NTNU / Cyber Science Lab</t>
  </si>
  <si>
    <t xml:space="preserve">تقديم مباشر – بلا موعد ثابت</t>
  </si>
  <si>
    <t xml:space="preserve">مستمر</t>
  </si>
  <si>
    <t xml:space="preserve">التواريخ المضافة بصيغة 'تقريبي' هي بداية/نهاية نافذة وليست موعداً رسمياً مؤكداً.</t>
  </si>
  <si>
    <t xml:space="preserve">الاسم</t>
  </si>
  <si>
    <t xml:space="preserve">البريد</t>
  </si>
  <si>
    <t xml:space="preserve">المجال / الدور</t>
  </si>
  <si>
    <t xml:space="preserve">Lalia Saoudi</t>
  </si>
  <si>
    <t xml:space="preserve">lalia.saoudi@univ-msila.dz</t>
  </si>
  <si>
    <t xml:space="preserve">Réseaux &amp; Sécurité – رسالة مخصصة لـ CISPA</t>
  </si>
  <si>
    <t xml:space="preserve">تسمح بمشاركتها مع أي مؤسسة</t>
  </si>
  <si>
    <t xml:space="preserve">Noureddine Amraoui</t>
  </si>
  <si>
    <t xml:space="preserve">noureddine.amraoui@univ-msila.dz</t>
  </si>
  <si>
    <t xml:space="preserve">Web Security – رسالة عامة 02.08.2026</t>
  </si>
  <si>
    <t xml:space="preserve">Ezzeddine Attir</t>
  </si>
  <si>
    <t xml:space="preserve">azedine.attir@univ-msila.dz</t>
  </si>
  <si>
    <t xml:space="preserve">رئيس تخصص الماستر – Wireless Networks</t>
  </si>
  <si>
    <t xml:space="preserve">Dr. وليس Prof.</t>
  </si>
  <si>
    <t xml:space="preserve">Wafa Bouras</t>
  </si>
  <si>
    <t xml:space="preserve">wafa.bouras@univ-msila.dz</t>
  </si>
  <si>
    <t xml:space="preserve">Sécurité Multimédia / Digital Media Security</t>
  </si>
  <si>
    <t xml:space="preserve">Samir Akhrouf</t>
  </si>
  <si>
    <t xml:space="preserve">samir.akhrouf@univ-msila.dz</t>
  </si>
  <si>
    <t xml:space="preserve">مرجع أكاديمي</t>
  </si>
  <si>
    <t xml:space="preserve">استُثني من طلب IMDEA</t>
  </si>
  <si>
    <t xml:space="preserve">الوثائق الجاهزة</t>
  </si>
  <si>
    <t xml:space="preserve">الملف</t>
  </si>
  <si>
    <t xml:space="preserve">الاستخدام</t>
  </si>
  <si>
    <t xml:space="preserve">research_proposal.md</t>
  </si>
  <si>
    <t xml:space="preserve">مقترح البحث (SecuraX)</t>
  </si>
  <si>
    <t xml:space="preserve">cispa_research_statement.md</t>
  </si>
  <si>
    <t xml:space="preserve">CISPA – Ali Abbasi</t>
  </si>
  <si>
    <t xml:space="preserve">Motivation_Letter_Ferrari_IMTLucca_v3.docx</t>
  </si>
  <si>
    <t xml:space="preserve">Ferrari / IMT Lucca</t>
  </si>
  <si>
    <t xml:space="preserve">رسائل: Turku, KAIST, IMT Lucca, CYD, IMDEA, KU Leuven, KTH, HPI</t>
  </si>
  <si>
    <t xml:space="preserve">رسائل دافعية جاهزة</t>
  </si>
  <si>
    <t xml:space="preserve">تقرير HexaGuard التقني</t>
  </si>
  <si>
    <t xml:space="preserve">canada_phd_master_sheet.xlsx</t>
  </si>
  <si>
    <t xml:space="preserve">كندا: 27 مختبراً + 9 منح</t>
  </si>
  <si>
    <t xml:space="preserve">خريطة_المنح_والاساتذة_المانيا.xlsx</t>
  </si>
  <si>
    <t xml:space="preserve">خريطة_عالمية_المنح_والفرص.xlsx</t>
  </si>
  <si>
    <t xml:space="preserve">عالمي + تبويب 'مسح فرص خارجي' (25 فرصة)</t>
  </si>
  <si>
    <t xml:space="preserve">مسح فرص دكتوراه.xlsx</t>
  </si>
  <si>
    <t xml:space="preserve">20 صفاً × 14 عموداً – كل الدول</t>
  </si>
  <si>
    <t xml:space="preserve">كندا-تنقيب عميق 16.08</t>
  </si>
  <si>
    <t xml:space="preserve">38 صفاً، 20+ أستاذاً</t>
  </si>
  <si>
    <t xml:space="preserve">AbdallahBenaichaCV.pdf</t>
  </si>
  <si>
    <t xml:space="preserve">CV عام</t>
  </si>
  <si>
    <t xml:space="preserve">CV_Benaicha.pdf</t>
  </si>
  <si>
    <t xml:space="preserve">CV متخصص – توزيع محدود، لا تُنشر الأرقام</t>
  </si>
  <si>
    <t xml:space="preserve">5 ملفات PDF لتحضير المقابلة</t>
  </si>
  <si>
    <t xml:space="preserve">مقابلات الدكتوراه</t>
  </si>
  <si>
    <t xml:space="preserve">قاعدة: الأرقام الأكاديمية في الرسائل فقط، لا في متن الإيميلات.</t>
  </si>
  <si>
    <t xml:space="preserve">المهمة</t>
  </si>
  <si>
    <t xml:space="preserve">التفاصيل</t>
  </si>
  <si>
    <t xml:space="preserve">المدة التقريبية</t>
  </si>
  <si>
    <t xml:space="preserve">متابعة إيطاليا: رد IMT Lucca على إيميل 31.08</t>
  </si>
  <si>
    <t xml:space="preserve">ابحث عن رد في البريد؛ إن لم يوجد أعد المراسلة وأرفق Ferrari v3</t>
  </si>
  <si>
    <t xml:space="preserve">15 دقيقة</t>
  </si>
  <si>
    <t xml:space="preserve">التقديم المباشر: CASA Bochum + CISPA SprintML</t>
  </si>
  <si>
    <t xml:space="preserve">بلا موعد ثابت؛ استخدم الملفات الجاهزة</t>
  </si>
  <si>
    <t xml:space="preserve">ساعة لكل واحد</t>
  </si>
  <si>
    <t xml:space="preserve">إيميل UNB CIC (Dadkhah) + Waterloo + Regina + UBC</t>
  </si>
  <si>
    <t xml:space="preserve">مبني على آخر أوراقهم 2024–2026</t>
  </si>
  <si>
    <t xml:space="preserve">ساعة</t>
  </si>
  <si>
    <t xml:space="preserve">تحقق من: SecReSy4You (Padova) + Swiss Govt Scholarship + Turku + Inria 2026-10297</t>
  </si>
  <si>
    <t xml:space="preserve">افتح كل رابط، سجّل الموعد/الحالة</t>
  </si>
  <si>
    <t xml:space="preserve">30 دقيقة</t>
  </si>
  <si>
    <t xml:space="preserve">HKPFS + SINGA: إيميل للمشرفين قبل 01.12</t>
  </si>
  <si>
    <t xml:space="preserve">Daoyuan Wu (HKUST) و Wei Zhang (SIT)</t>
  </si>
  <si>
    <t xml:space="preserve">معاهد كوريا الخمسة: تحقق من المواعيد</t>
  </si>
  <si>
    <t xml:space="preserve">KAIST/POSTECH/UNIST/GIST/DGIST</t>
  </si>
  <si>
    <t xml:space="preserve">تحضير مقابلات HPI (19–30.10)</t>
  </si>
  <si>
    <t xml:space="preserve">الإنجليزية الشفهية شرط قبل أي مكالمة؛ عبارة التأجيل جاهزة</t>
  </si>
  <si>
    <t xml:space="preserve">يومياً 20 دقيقة</t>
  </si>
  <si>
    <t xml:space="preserve">متابعة (follow-up) للأساتذة الألمان وسويسرا</t>
  </si>
  <si>
    <t xml:space="preserve">رسالة قصيرة مبنية على ورقة حديثة</t>
  </si>
  <si>
    <t xml:space="preserve">ساعتان موزعتان</t>
  </si>
  <si>
    <t xml:space="preserve">بحث EURAXESS أسبوعياً بكلمات متنوعة</t>
  </si>
  <si>
    <t xml:space="preserve">security / resilience / trustworthy AI / critical infrastructure</t>
  </si>
  <si>
    <t xml:space="preserve">أسبوعياً 30 دقيقة</t>
  </si>
  <si>
    <t xml:space="preserve">رسم أساتذة Toronto (Fall 2027) + تواصل NTNU</t>
  </si>
  <si>
    <t xml:space="preserve">تحضير ملفات ديسمبر: CSC (Xidian...) وملف Türkiye Bursları</t>
  </si>
  <si>
    <t xml:space="preserve">لاحقاً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</si>
</sst>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C6EFCE"/>
      </patternFill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DDEBF7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FC7CE"/>
      </patternFill>
    </fill>
    <fill>
      <patternFill patternType="solid">
        <fgColor rgb="FFF4B084"/>
        <bgColor rgb="FFF8CBAD"/>
      </patternFill>
    </fill>
    <fill>
      <patternFill patternType="solid">
        <fgColor rgb="FFD9D9D9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D9D9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FFC7CE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true">TODAY()</f>
        <v>46302</v>
      </c>
    </row>
    <row r="3" customFormat="false" ht="15" hidden="false" customHeight="false" outlineLevel="0" collapsed="false">
      <c r="A3" s="2" t="s">
        <v>2</v>
      </c>
      <c r="B3" s="4" t="n">
        <f aca="false">COUNTA(الفرص!C2:C131)</f>
        <v>130</v>
      </c>
    </row>
    <row r="5" customFormat="false" ht="15" hidden="false" customHeight="false" outlineLevel="0" collapsed="false">
      <c r="A5" s="5" t="s">
        <v>3</v>
      </c>
      <c r="B5" s="6"/>
      <c r="D5" s="5" t="s">
        <v>4</v>
      </c>
      <c r="E5" s="6"/>
    </row>
    <row r="6" customFormat="false" ht="15" hidden="false" customHeight="false" outlineLevel="0" collapsed="false">
      <c r="A6" s="7" t="s">
        <v>5</v>
      </c>
      <c r="B6" s="4" t="n">
        <f aca="false">COUNTIF(الفرص!$I$2:$I$131,A6)</f>
        <v>10</v>
      </c>
      <c r="D6" s="4" t="s">
        <v>6</v>
      </c>
      <c r="E6" s="4" t="n">
        <f aca="false">COUNTIF(الفرص!$J$2:$J$131,D6)</f>
        <v>22</v>
      </c>
    </row>
    <row r="7" customFormat="false" ht="15" hidden="false" customHeight="false" outlineLevel="0" collapsed="false">
      <c r="A7" s="8" t="s">
        <v>7</v>
      </c>
      <c r="B7" s="4" t="n">
        <f aca="false">COUNTIF(الفرص!$I$2:$I$131,A7)</f>
        <v>33</v>
      </c>
      <c r="D7" s="4" t="s">
        <v>8</v>
      </c>
      <c r="E7" s="4" t="n">
        <f aca="false">COUNTIF(الفرص!$J$2:$J$131,D7)</f>
        <v>72</v>
      </c>
    </row>
    <row r="8" customFormat="false" ht="15" hidden="false" customHeight="false" outlineLevel="0" collapsed="false">
      <c r="A8" s="9" t="s">
        <v>9</v>
      </c>
      <c r="B8" s="4" t="n">
        <f aca="false">COUNTIF(الفرص!$I$2:$I$131,A8)</f>
        <v>1</v>
      </c>
      <c r="D8" s="4" t="s">
        <v>10</v>
      </c>
      <c r="E8" s="4" t="n">
        <f aca="false">COUNTIF(الفرص!$J$2:$J$131,D8)</f>
        <v>36</v>
      </c>
    </row>
    <row r="9" customFormat="false" ht="15" hidden="false" customHeight="false" outlineLevel="0" collapsed="false">
      <c r="A9" s="10" t="s">
        <v>11</v>
      </c>
      <c r="B9" s="4" t="n">
        <f aca="false">COUNTIF(الفرص!$I$2:$I$131,A9)</f>
        <v>42</v>
      </c>
    </row>
    <row r="10" customFormat="false" ht="15" hidden="false" customHeight="false" outlineLevel="0" collapsed="false">
      <c r="A10" s="11" t="s">
        <v>12</v>
      </c>
      <c r="B10" s="4" t="n">
        <f aca="false">COUNTIF(الفرص!$I$2:$I$131,A10)</f>
        <v>17</v>
      </c>
      <c r="D10" s="4" t="s">
        <v>13</v>
      </c>
      <c r="E10" s="2" t="n">
        <f aca="false">COUNTIFS(الفرص!$J$2:$J$131,"عالية",الفرص!$I$2:$I$131,"لم يُتواصل بعد")+COUNTIFS(الفرص!$J$2:$J$131,"عالية",الفرص!$I$2:$I$131,"يحتاج تحقق")</f>
        <v>14</v>
      </c>
    </row>
    <row r="11" customFormat="false" ht="15" hidden="false" customHeight="false" outlineLevel="0" collapsed="false">
      <c r="A11" s="12" t="s">
        <v>14</v>
      </c>
      <c r="B11" s="4" t="n">
        <f aca="false">COUNTIF(الفرص!$I$2:$I$131,A11)</f>
        <v>16</v>
      </c>
      <c r="D11" s="4" t="s">
        <v>15</v>
      </c>
      <c r="E11" s="2" t="n">
        <f aca="false">COUNTIFS(الفرص!$H$2:$H$131,"&gt;=0",الفرص!$H$2:$H$131,"&lt;=30")</f>
        <v>0</v>
      </c>
    </row>
    <row r="12" customFormat="false" ht="15" hidden="false" customHeight="false" outlineLevel="0" collapsed="false">
      <c r="A12" s="13" t="s">
        <v>16</v>
      </c>
      <c r="B12" s="4" t="n">
        <f aca="false">COUNTIF(الفرص!$I$2:$I$131,A12)</f>
        <v>8</v>
      </c>
    </row>
    <row r="13" customFormat="false" ht="15" hidden="false" customHeight="false" outlineLevel="0" collapsed="false">
      <c r="A13" s="14" t="s">
        <v>17</v>
      </c>
      <c r="B13" s="4" t="n">
        <f aca="false">COUNTIF(الفرص!$I$2:$I$131,A13)</f>
        <v>1</v>
      </c>
    </row>
    <row r="14" customFormat="false" ht="15" hidden="false" customHeight="false" outlineLevel="0" collapsed="false">
      <c r="A14" s="15" t="s">
        <v>18</v>
      </c>
      <c r="B14" s="4" t="n">
        <f aca="false">COUNTIF(الفرص!$I$2:$I$131,A14)</f>
        <v>2</v>
      </c>
    </row>
    <row r="15" customFormat="false" ht="15" hidden="false" customHeight="false" outlineLevel="0" collapsed="false">
      <c r="A15" s="2" t="s">
        <v>19</v>
      </c>
      <c r="B15" s="2" t="n">
        <f aca="false">SUM(B6:B14)</f>
        <v>130</v>
      </c>
    </row>
    <row r="17" customFormat="false" ht="15" hidden="false" customHeight="false" outlineLevel="0" collapsed="false">
      <c r="A17" s="2" t="s">
        <v>20</v>
      </c>
    </row>
    <row r="18" customFormat="false" ht="31.5" hidden="false" customHeight="true" outlineLevel="0" collapsed="false">
      <c r="A18" s="16" t="s">
        <v>21</v>
      </c>
      <c r="B18" s="16"/>
      <c r="C18" s="16"/>
      <c r="D18" s="16"/>
      <c r="E18" s="16"/>
    </row>
    <row r="19" customFormat="false" ht="31.5" hidden="false" customHeight="true" outlineLevel="0" collapsed="false">
      <c r="A19" s="16" t="s">
        <v>22</v>
      </c>
      <c r="B19" s="16"/>
      <c r="C19" s="16"/>
      <c r="D19" s="16"/>
      <c r="E19" s="16"/>
    </row>
    <row r="20" customFormat="false" ht="31.5" hidden="false" customHeight="true" outlineLevel="0" collapsed="false">
      <c r="A20" s="16" t="s">
        <v>23</v>
      </c>
      <c r="B20" s="16"/>
      <c r="C20" s="16"/>
      <c r="D20" s="16"/>
      <c r="E20" s="16"/>
    </row>
    <row r="21" customFormat="false" ht="31.5" hidden="false" customHeight="true" outlineLevel="0" collapsed="false">
      <c r="A21" s="16" t="s">
        <v>24</v>
      </c>
      <c r="B21" s="16"/>
      <c r="C21" s="16"/>
      <c r="D21" s="16"/>
      <c r="E21" s="16"/>
    </row>
    <row r="22" customFormat="false" ht="31.5" hidden="false" customHeight="true" outlineLevel="0" collapsed="false">
      <c r="A22" s="16" t="s">
        <v>25</v>
      </c>
      <c r="B22" s="16"/>
      <c r="C22" s="16"/>
      <c r="D22" s="16"/>
      <c r="E22" s="16"/>
    </row>
  </sheetData>
  <mergeCells count="5">
    <mergeCell ref="A18:E18"/>
    <mergeCell ref="A19:E19"/>
    <mergeCell ref="A20:E20"/>
    <mergeCell ref="A21:E21"/>
    <mergeCell ref="A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38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9" min="9" style="0" width="20"/>
    <col collapsed="false" customWidth="true" hidden="false" outlineLevel="0" max="10" min="10" style="0" width="10"/>
    <col collapsed="false" customWidth="true" hidden="false" outlineLevel="0" max="11" min="11" style="0" width="40"/>
    <col collapsed="false" customWidth="true" hidden="false" outlineLevel="0" max="12" min="12" style="0" width="38"/>
    <col collapsed="false" customWidth="true" hidden="false" outlineLevel="0" max="13" min="13" style="0" width="40"/>
  </cols>
  <sheetData>
    <row r="1" customFormat="false" ht="30" hidden="false" customHeight="true" outlineLevel="0" collapsed="false">
      <c r="A1" s="17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</row>
    <row r="2" customFormat="false" ht="35.05" hidden="false" customHeight="false" outlineLevel="0" collapsed="false">
      <c r="A2" s="18" t="n">
        <v>1</v>
      </c>
      <c r="B2" s="19" t="s">
        <v>39</v>
      </c>
      <c r="C2" s="19" t="s">
        <v>40</v>
      </c>
      <c r="D2" s="19" t="s">
        <v>41</v>
      </c>
      <c r="E2" s="19" t="s">
        <v>42</v>
      </c>
      <c r="F2" s="20"/>
      <c r="G2" s="19" t="s">
        <v>43</v>
      </c>
      <c r="H2" s="21" t="str">
        <f aca="true">IF(F2="","",F2-TODAY())</f>
        <v/>
      </c>
      <c r="I2" s="22" t="s">
        <v>11</v>
      </c>
      <c r="J2" s="18" t="s">
        <v>6</v>
      </c>
      <c r="K2" s="19" t="s">
        <v>44</v>
      </c>
      <c r="L2" s="19" t="s">
        <v>45</v>
      </c>
      <c r="M2" s="19" t="s">
        <v>46</v>
      </c>
    </row>
    <row r="3" customFormat="false" ht="15" hidden="false" customHeight="false" outlineLevel="0" collapsed="false">
      <c r="A3" s="18" t="n">
        <v>2</v>
      </c>
      <c r="B3" s="19" t="s">
        <v>39</v>
      </c>
      <c r="C3" s="19" t="s">
        <v>47</v>
      </c>
      <c r="D3" s="19" t="s">
        <v>48</v>
      </c>
      <c r="E3" s="19" t="s">
        <v>42</v>
      </c>
      <c r="F3" s="20"/>
      <c r="G3" s="19" t="s">
        <v>49</v>
      </c>
      <c r="H3" s="21" t="str">
        <f aca="true">IF(F3="","",F3-TODAY())</f>
        <v/>
      </c>
      <c r="I3" s="22" t="s">
        <v>11</v>
      </c>
      <c r="J3" s="18" t="s">
        <v>6</v>
      </c>
      <c r="K3" s="19" t="s">
        <v>50</v>
      </c>
      <c r="L3" s="19"/>
      <c r="M3" s="19" t="s">
        <v>51</v>
      </c>
    </row>
    <row r="4" customFormat="false" ht="23.85" hidden="false" customHeight="false" outlineLevel="0" collapsed="false">
      <c r="A4" s="18" t="n">
        <v>3</v>
      </c>
      <c r="B4" s="19" t="s">
        <v>39</v>
      </c>
      <c r="C4" s="19" t="s">
        <v>52</v>
      </c>
      <c r="D4" s="19" t="s">
        <v>53</v>
      </c>
      <c r="E4" s="19" t="s">
        <v>54</v>
      </c>
      <c r="F4" s="20"/>
      <c r="G4" s="19" t="s">
        <v>55</v>
      </c>
      <c r="H4" s="21" t="str">
        <f aca="true">IF(F4="","",F4-TODAY())</f>
        <v/>
      </c>
      <c r="I4" s="23" t="s">
        <v>7</v>
      </c>
      <c r="J4" s="18" t="s">
        <v>8</v>
      </c>
      <c r="K4" s="19" t="s">
        <v>56</v>
      </c>
      <c r="L4" s="19"/>
      <c r="M4" s="19" t="s">
        <v>57</v>
      </c>
    </row>
    <row r="5" customFormat="false" ht="15" hidden="false" customHeight="false" outlineLevel="0" collapsed="false">
      <c r="A5" s="18" t="n">
        <v>4</v>
      </c>
      <c r="B5" s="19" t="s">
        <v>39</v>
      </c>
      <c r="C5" s="19" t="s">
        <v>52</v>
      </c>
      <c r="D5" s="19" t="s">
        <v>58</v>
      </c>
      <c r="E5" s="19" t="s">
        <v>54</v>
      </c>
      <c r="F5" s="20"/>
      <c r="G5" s="19" t="s">
        <v>55</v>
      </c>
      <c r="H5" s="21" t="str">
        <f aca="true">IF(F5="","",F5-TODAY())</f>
        <v/>
      </c>
      <c r="I5" s="23" t="s">
        <v>7</v>
      </c>
      <c r="J5" s="18" t="s">
        <v>8</v>
      </c>
      <c r="K5" s="19" t="s">
        <v>59</v>
      </c>
      <c r="L5" s="19"/>
      <c r="M5" s="19"/>
    </row>
    <row r="6" customFormat="false" ht="15" hidden="false" customHeight="false" outlineLevel="0" collapsed="false">
      <c r="A6" s="18" t="n">
        <v>5</v>
      </c>
      <c r="B6" s="19" t="s">
        <v>39</v>
      </c>
      <c r="C6" s="19" t="s">
        <v>52</v>
      </c>
      <c r="D6" s="19" t="s">
        <v>60</v>
      </c>
      <c r="E6" s="19" t="s">
        <v>42</v>
      </c>
      <c r="F6" s="20"/>
      <c r="G6" s="19" t="s">
        <v>55</v>
      </c>
      <c r="H6" s="21" t="str">
        <f aca="true">IF(F6="","",F6-TODAY())</f>
        <v/>
      </c>
      <c r="I6" s="24" t="s">
        <v>16</v>
      </c>
      <c r="J6" s="18" t="s">
        <v>10</v>
      </c>
      <c r="K6" s="19" t="s">
        <v>61</v>
      </c>
      <c r="L6" s="19"/>
      <c r="M6" s="19" t="s">
        <v>62</v>
      </c>
    </row>
    <row r="7" customFormat="false" ht="15" hidden="false" customHeight="false" outlineLevel="0" collapsed="false">
      <c r="A7" s="18" t="n">
        <v>6</v>
      </c>
      <c r="B7" s="19" t="s">
        <v>39</v>
      </c>
      <c r="C7" s="19" t="s">
        <v>52</v>
      </c>
      <c r="D7" s="19" t="s">
        <v>63</v>
      </c>
      <c r="E7" s="19" t="s">
        <v>54</v>
      </c>
      <c r="F7" s="20"/>
      <c r="G7" s="19" t="s">
        <v>55</v>
      </c>
      <c r="H7" s="21" t="str">
        <f aca="true">IF(F7="","",F7-TODAY())</f>
        <v/>
      </c>
      <c r="I7" s="23" t="s">
        <v>7</v>
      </c>
      <c r="J7" s="18" t="s">
        <v>8</v>
      </c>
      <c r="K7" s="19" t="s">
        <v>64</v>
      </c>
      <c r="L7" s="19"/>
      <c r="M7" s="19"/>
    </row>
    <row r="8" customFormat="false" ht="15" hidden="false" customHeight="false" outlineLevel="0" collapsed="false">
      <c r="A8" s="18" t="n">
        <v>7</v>
      </c>
      <c r="B8" s="19" t="s">
        <v>39</v>
      </c>
      <c r="C8" s="19" t="s">
        <v>52</v>
      </c>
      <c r="D8" s="19" t="s">
        <v>65</v>
      </c>
      <c r="E8" s="19" t="s">
        <v>54</v>
      </c>
      <c r="F8" s="20"/>
      <c r="G8" s="19" t="s">
        <v>55</v>
      </c>
      <c r="H8" s="21" t="str">
        <f aca="true">IF(F8="","",F8-TODAY())</f>
        <v/>
      </c>
      <c r="I8" s="23" t="s">
        <v>7</v>
      </c>
      <c r="J8" s="18" t="s">
        <v>8</v>
      </c>
      <c r="K8" s="19" t="s">
        <v>64</v>
      </c>
      <c r="L8" s="19"/>
      <c r="M8" s="19"/>
    </row>
    <row r="9" customFormat="false" ht="15" hidden="false" customHeight="false" outlineLevel="0" collapsed="false">
      <c r="A9" s="18" t="n">
        <v>8</v>
      </c>
      <c r="B9" s="19" t="s">
        <v>39</v>
      </c>
      <c r="C9" s="19" t="s">
        <v>66</v>
      </c>
      <c r="D9" s="19" t="s">
        <v>67</v>
      </c>
      <c r="E9" s="19" t="s">
        <v>42</v>
      </c>
      <c r="F9" s="20" t="n">
        <v>46285</v>
      </c>
      <c r="G9" s="19" t="s">
        <v>68</v>
      </c>
      <c r="H9" s="21" t="n">
        <f aca="true">IF(F9="","",F9-TODAY())</f>
        <v>-17</v>
      </c>
      <c r="I9" s="25" t="s">
        <v>5</v>
      </c>
      <c r="J9" s="18" t="s">
        <v>6</v>
      </c>
      <c r="K9" s="19" t="s">
        <v>69</v>
      </c>
      <c r="L9" s="19"/>
      <c r="M9" s="19" t="s">
        <v>70</v>
      </c>
    </row>
    <row r="10" customFormat="false" ht="15" hidden="false" customHeight="false" outlineLevel="0" collapsed="false">
      <c r="A10" s="18" t="n">
        <v>9</v>
      </c>
      <c r="B10" s="19" t="s">
        <v>39</v>
      </c>
      <c r="C10" s="19" t="s">
        <v>66</v>
      </c>
      <c r="D10" s="19" t="s">
        <v>71</v>
      </c>
      <c r="E10" s="19" t="s">
        <v>42</v>
      </c>
      <c r="F10" s="20"/>
      <c r="G10" s="19" t="s">
        <v>55</v>
      </c>
      <c r="H10" s="21" t="str">
        <f aca="true">IF(F10="","",F10-TODAY())</f>
        <v/>
      </c>
      <c r="I10" s="25" t="s">
        <v>5</v>
      </c>
      <c r="J10" s="18" t="s">
        <v>8</v>
      </c>
      <c r="K10" s="19" t="s">
        <v>72</v>
      </c>
      <c r="L10" s="19"/>
      <c r="M10" s="19" t="s">
        <v>73</v>
      </c>
    </row>
    <row r="11" customFormat="false" ht="15" hidden="false" customHeight="false" outlineLevel="0" collapsed="false">
      <c r="A11" s="18" t="n">
        <v>10</v>
      </c>
      <c r="B11" s="19" t="s">
        <v>39</v>
      </c>
      <c r="C11" s="19" t="s">
        <v>66</v>
      </c>
      <c r="D11" s="19" t="s">
        <v>74</v>
      </c>
      <c r="E11" s="19" t="s">
        <v>42</v>
      </c>
      <c r="F11" s="20"/>
      <c r="G11" s="19" t="s">
        <v>55</v>
      </c>
      <c r="H11" s="21" t="str">
        <f aca="true">IF(F11="","",F11-TODAY())</f>
        <v/>
      </c>
      <c r="I11" s="25" t="s">
        <v>5</v>
      </c>
      <c r="J11" s="18" t="s">
        <v>8</v>
      </c>
      <c r="K11" s="19" t="s">
        <v>72</v>
      </c>
      <c r="L11" s="19"/>
      <c r="M11" s="19" t="s">
        <v>73</v>
      </c>
    </row>
    <row r="12" customFormat="false" ht="15" hidden="false" customHeight="false" outlineLevel="0" collapsed="false">
      <c r="A12" s="18" t="n">
        <v>11</v>
      </c>
      <c r="B12" s="19" t="s">
        <v>39</v>
      </c>
      <c r="C12" s="19" t="s">
        <v>66</v>
      </c>
      <c r="D12" s="19" t="s">
        <v>75</v>
      </c>
      <c r="E12" s="19" t="s">
        <v>54</v>
      </c>
      <c r="F12" s="20"/>
      <c r="G12" s="19" t="s">
        <v>55</v>
      </c>
      <c r="H12" s="21" t="str">
        <f aca="true">IF(F12="","",F12-TODAY())</f>
        <v/>
      </c>
      <c r="I12" s="26" t="s">
        <v>18</v>
      </c>
      <c r="J12" s="18" t="s">
        <v>10</v>
      </c>
      <c r="K12" s="19" t="s">
        <v>76</v>
      </c>
      <c r="L12" s="19"/>
      <c r="M12" s="19" t="s">
        <v>77</v>
      </c>
    </row>
    <row r="13" customFormat="false" ht="15" hidden="false" customHeight="false" outlineLevel="0" collapsed="false">
      <c r="A13" s="18" t="n">
        <v>12</v>
      </c>
      <c r="B13" s="19" t="s">
        <v>39</v>
      </c>
      <c r="C13" s="19" t="s">
        <v>78</v>
      </c>
      <c r="D13" s="19" t="s">
        <v>79</v>
      </c>
      <c r="E13" s="19" t="s">
        <v>54</v>
      </c>
      <c r="F13" s="20"/>
      <c r="G13" s="19" t="s">
        <v>55</v>
      </c>
      <c r="H13" s="21" t="str">
        <f aca="true">IF(F13="","",F13-TODAY())</f>
        <v/>
      </c>
      <c r="I13" s="23" t="s">
        <v>7</v>
      </c>
      <c r="J13" s="18" t="s">
        <v>8</v>
      </c>
      <c r="K13" s="19" t="s">
        <v>64</v>
      </c>
      <c r="L13" s="19"/>
      <c r="M13" s="19"/>
    </row>
    <row r="14" customFormat="false" ht="15" hidden="false" customHeight="false" outlineLevel="0" collapsed="false">
      <c r="A14" s="18" t="n">
        <v>13</v>
      </c>
      <c r="B14" s="19" t="s">
        <v>39</v>
      </c>
      <c r="C14" s="19" t="s">
        <v>55</v>
      </c>
      <c r="D14" s="19" t="s">
        <v>80</v>
      </c>
      <c r="E14" s="19" t="s">
        <v>54</v>
      </c>
      <c r="F14" s="20"/>
      <c r="G14" s="19" t="s">
        <v>55</v>
      </c>
      <c r="H14" s="21" t="str">
        <f aca="true">IF(F14="","",F14-TODAY())</f>
        <v/>
      </c>
      <c r="I14" s="23" t="s">
        <v>7</v>
      </c>
      <c r="J14" s="18" t="s">
        <v>8</v>
      </c>
      <c r="K14" s="19" t="s">
        <v>64</v>
      </c>
      <c r="L14" s="19"/>
      <c r="M14" s="19"/>
    </row>
    <row r="15" customFormat="false" ht="15" hidden="false" customHeight="false" outlineLevel="0" collapsed="false">
      <c r="A15" s="18" t="n">
        <v>14</v>
      </c>
      <c r="B15" s="19" t="s">
        <v>39</v>
      </c>
      <c r="C15" s="19" t="s">
        <v>55</v>
      </c>
      <c r="D15" s="19" t="s">
        <v>81</v>
      </c>
      <c r="E15" s="19" t="s">
        <v>54</v>
      </c>
      <c r="F15" s="20"/>
      <c r="G15" s="19" t="s">
        <v>82</v>
      </c>
      <c r="H15" s="21" t="str">
        <f aca="true">IF(F15="","",F15-TODAY())</f>
        <v/>
      </c>
      <c r="I15" s="23" t="s">
        <v>7</v>
      </c>
      <c r="J15" s="18" t="s">
        <v>8</v>
      </c>
      <c r="K15" s="19" t="s">
        <v>83</v>
      </c>
      <c r="L15" s="19"/>
      <c r="M15" s="19"/>
    </row>
    <row r="16" customFormat="false" ht="15" hidden="false" customHeight="false" outlineLevel="0" collapsed="false">
      <c r="A16" s="18" t="n">
        <v>15</v>
      </c>
      <c r="B16" s="19" t="s">
        <v>39</v>
      </c>
      <c r="C16" s="19" t="s">
        <v>55</v>
      </c>
      <c r="D16" s="19" t="s">
        <v>84</v>
      </c>
      <c r="E16" s="19" t="s">
        <v>54</v>
      </c>
      <c r="F16" s="20"/>
      <c r="G16" s="19" t="s">
        <v>55</v>
      </c>
      <c r="H16" s="21" t="str">
        <f aca="true">IF(F16="","",F16-TODAY())</f>
        <v/>
      </c>
      <c r="I16" s="23" t="s">
        <v>7</v>
      </c>
      <c r="J16" s="18" t="s">
        <v>8</v>
      </c>
      <c r="K16" s="19" t="s">
        <v>64</v>
      </c>
      <c r="L16" s="19"/>
      <c r="M16" s="19"/>
    </row>
    <row r="17" customFormat="false" ht="15" hidden="false" customHeight="false" outlineLevel="0" collapsed="false">
      <c r="A17" s="18" t="n">
        <v>16</v>
      </c>
      <c r="B17" s="19" t="s">
        <v>39</v>
      </c>
      <c r="C17" s="19" t="s">
        <v>85</v>
      </c>
      <c r="D17" s="19" t="s">
        <v>86</v>
      </c>
      <c r="E17" s="19" t="s">
        <v>54</v>
      </c>
      <c r="F17" s="20"/>
      <c r="G17" s="19" t="s">
        <v>55</v>
      </c>
      <c r="H17" s="21" t="str">
        <f aca="true">IF(F17="","",F17-TODAY())</f>
        <v/>
      </c>
      <c r="I17" s="23" t="s">
        <v>7</v>
      </c>
      <c r="J17" s="18" t="s">
        <v>6</v>
      </c>
      <c r="K17" s="19" t="s">
        <v>87</v>
      </c>
      <c r="L17" s="19"/>
      <c r="M17" s="19" t="s">
        <v>88</v>
      </c>
    </row>
    <row r="18" customFormat="false" ht="15" hidden="false" customHeight="false" outlineLevel="0" collapsed="false">
      <c r="A18" s="18" t="n">
        <v>17</v>
      </c>
      <c r="B18" s="19" t="s">
        <v>39</v>
      </c>
      <c r="C18" s="19" t="s">
        <v>89</v>
      </c>
      <c r="D18" s="19" t="s">
        <v>90</v>
      </c>
      <c r="E18" s="19" t="s">
        <v>54</v>
      </c>
      <c r="F18" s="20"/>
      <c r="G18" s="19" t="s">
        <v>55</v>
      </c>
      <c r="H18" s="21" t="str">
        <f aca="true">IF(F18="","",F18-TODAY())</f>
        <v/>
      </c>
      <c r="I18" s="23" t="s">
        <v>7</v>
      </c>
      <c r="J18" s="18" t="s">
        <v>8</v>
      </c>
      <c r="K18" s="19" t="s">
        <v>64</v>
      </c>
      <c r="L18" s="19"/>
      <c r="M18" s="19"/>
    </row>
    <row r="19" customFormat="false" ht="15" hidden="false" customHeight="false" outlineLevel="0" collapsed="false">
      <c r="A19" s="18" t="n">
        <v>18</v>
      </c>
      <c r="B19" s="19" t="s">
        <v>39</v>
      </c>
      <c r="C19" s="19" t="s">
        <v>55</v>
      </c>
      <c r="D19" s="19" t="s">
        <v>91</v>
      </c>
      <c r="E19" s="19" t="s">
        <v>54</v>
      </c>
      <c r="F19" s="20"/>
      <c r="G19" s="19" t="s">
        <v>92</v>
      </c>
      <c r="H19" s="21" t="str">
        <f aca="true">IF(F19="","",F19-TODAY())</f>
        <v/>
      </c>
      <c r="I19" s="23" t="s">
        <v>7</v>
      </c>
      <c r="J19" s="18" t="s">
        <v>8</v>
      </c>
      <c r="K19" s="19" t="s">
        <v>93</v>
      </c>
      <c r="L19" s="19"/>
      <c r="M19" s="19"/>
    </row>
    <row r="20" customFormat="false" ht="15" hidden="false" customHeight="false" outlineLevel="0" collapsed="false">
      <c r="A20" s="18" t="n">
        <v>19</v>
      </c>
      <c r="B20" s="19" t="s">
        <v>39</v>
      </c>
      <c r="C20" s="19" t="s">
        <v>55</v>
      </c>
      <c r="D20" s="19" t="s">
        <v>94</v>
      </c>
      <c r="E20" s="19" t="s">
        <v>54</v>
      </c>
      <c r="F20" s="20"/>
      <c r="G20" s="19" t="s">
        <v>55</v>
      </c>
      <c r="H20" s="21" t="str">
        <f aca="true">IF(F20="","",F20-TODAY())</f>
        <v/>
      </c>
      <c r="I20" s="27" t="s">
        <v>12</v>
      </c>
      <c r="J20" s="18" t="s">
        <v>10</v>
      </c>
      <c r="K20" s="19" t="s">
        <v>95</v>
      </c>
      <c r="L20" s="19"/>
      <c r="M20" s="19" t="s">
        <v>96</v>
      </c>
    </row>
    <row r="21" customFormat="false" ht="15" hidden="false" customHeight="false" outlineLevel="0" collapsed="false">
      <c r="A21" s="18" t="n">
        <v>20</v>
      </c>
      <c r="B21" s="19" t="s">
        <v>39</v>
      </c>
      <c r="C21" s="19" t="s">
        <v>78</v>
      </c>
      <c r="D21" s="19" t="s">
        <v>97</v>
      </c>
      <c r="E21" s="19" t="s">
        <v>54</v>
      </c>
      <c r="F21" s="20"/>
      <c r="G21" s="19" t="s">
        <v>55</v>
      </c>
      <c r="H21" s="21" t="str">
        <f aca="true">IF(F21="","",F21-TODAY())</f>
        <v/>
      </c>
      <c r="I21" s="23" t="s">
        <v>7</v>
      </c>
      <c r="J21" s="18" t="s">
        <v>8</v>
      </c>
      <c r="K21" s="19" t="s">
        <v>64</v>
      </c>
      <c r="L21" s="19"/>
      <c r="M21" s="19"/>
    </row>
    <row r="22" customFormat="false" ht="15" hidden="false" customHeight="false" outlineLevel="0" collapsed="false">
      <c r="A22" s="18" t="n">
        <v>21</v>
      </c>
      <c r="B22" s="19" t="s">
        <v>39</v>
      </c>
      <c r="C22" s="19" t="s">
        <v>98</v>
      </c>
      <c r="D22" s="19" t="s">
        <v>99</v>
      </c>
      <c r="E22" s="19" t="s">
        <v>100</v>
      </c>
      <c r="F22" s="20" t="n">
        <v>46265</v>
      </c>
      <c r="G22" s="19" t="s">
        <v>101</v>
      </c>
      <c r="H22" s="21" t="n">
        <f aca="true">IF(F22="","",F22-TODAY())</f>
        <v>-37</v>
      </c>
      <c r="I22" s="24" t="s">
        <v>16</v>
      </c>
      <c r="J22" s="18" t="s">
        <v>8</v>
      </c>
      <c r="K22" s="19" t="s">
        <v>102</v>
      </c>
      <c r="L22" s="19" t="s">
        <v>103</v>
      </c>
      <c r="M22" s="19" t="s">
        <v>104</v>
      </c>
    </row>
    <row r="23" customFormat="false" ht="15" hidden="false" customHeight="false" outlineLevel="0" collapsed="false">
      <c r="A23" s="18" t="n">
        <v>22</v>
      </c>
      <c r="B23" s="19" t="s">
        <v>39</v>
      </c>
      <c r="C23" s="19" t="s">
        <v>105</v>
      </c>
      <c r="D23" s="19" t="s">
        <v>106</v>
      </c>
      <c r="E23" s="19" t="s">
        <v>54</v>
      </c>
      <c r="F23" s="20"/>
      <c r="G23" s="19" t="s">
        <v>55</v>
      </c>
      <c r="H23" s="21" t="str">
        <f aca="true">IF(F23="","",F23-TODAY())</f>
        <v/>
      </c>
      <c r="I23" s="22" t="s">
        <v>11</v>
      </c>
      <c r="J23" s="18" t="s">
        <v>8</v>
      </c>
      <c r="K23" s="19" t="s">
        <v>107</v>
      </c>
      <c r="L23" s="19"/>
      <c r="M23" s="19"/>
    </row>
    <row r="24" customFormat="false" ht="15" hidden="false" customHeight="false" outlineLevel="0" collapsed="false">
      <c r="A24" s="18" t="n">
        <v>23</v>
      </c>
      <c r="B24" s="19" t="s">
        <v>39</v>
      </c>
      <c r="C24" s="19" t="s">
        <v>108</v>
      </c>
      <c r="D24" s="19" t="s">
        <v>109</v>
      </c>
      <c r="E24" s="19" t="s">
        <v>54</v>
      </c>
      <c r="F24" s="20"/>
      <c r="G24" s="19" t="s">
        <v>55</v>
      </c>
      <c r="H24" s="21" t="str">
        <f aca="true">IF(F24="","",F24-TODAY())</f>
        <v/>
      </c>
      <c r="I24" s="22" t="s">
        <v>11</v>
      </c>
      <c r="J24" s="18" t="s">
        <v>8</v>
      </c>
      <c r="K24" s="19" t="s">
        <v>107</v>
      </c>
      <c r="L24" s="19"/>
      <c r="M24" s="19"/>
    </row>
    <row r="25" customFormat="false" ht="15" hidden="false" customHeight="false" outlineLevel="0" collapsed="false">
      <c r="A25" s="18" t="n">
        <v>24</v>
      </c>
      <c r="B25" s="19" t="s">
        <v>39</v>
      </c>
      <c r="C25" s="19" t="s">
        <v>110</v>
      </c>
      <c r="D25" s="19" t="s">
        <v>111</v>
      </c>
      <c r="E25" s="19" t="s">
        <v>54</v>
      </c>
      <c r="F25" s="20"/>
      <c r="G25" s="19" t="s">
        <v>55</v>
      </c>
      <c r="H25" s="21" t="str">
        <f aca="true">IF(F25="","",F25-TODAY())</f>
        <v/>
      </c>
      <c r="I25" s="22" t="s">
        <v>11</v>
      </c>
      <c r="J25" s="18" t="s">
        <v>8</v>
      </c>
      <c r="K25" s="19" t="s">
        <v>107</v>
      </c>
      <c r="L25" s="19"/>
      <c r="M25" s="19"/>
    </row>
    <row r="26" customFormat="false" ht="15" hidden="false" customHeight="false" outlineLevel="0" collapsed="false">
      <c r="A26" s="18" t="n">
        <v>25</v>
      </c>
      <c r="B26" s="19" t="s">
        <v>39</v>
      </c>
      <c r="C26" s="19" t="s">
        <v>112</v>
      </c>
      <c r="D26" s="19" t="s">
        <v>113</v>
      </c>
      <c r="E26" s="19" t="s">
        <v>54</v>
      </c>
      <c r="F26" s="20"/>
      <c r="G26" s="19" t="s">
        <v>55</v>
      </c>
      <c r="H26" s="21" t="str">
        <f aca="true">IF(F26="","",F26-TODAY())</f>
        <v/>
      </c>
      <c r="I26" s="22" t="s">
        <v>11</v>
      </c>
      <c r="J26" s="18" t="s">
        <v>8</v>
      </c>
      <c r="K26" s="19" t="s">
        <v>107</v>
      </c>
      <c r="L26" s="19"/>
      <c r="M26" s="19"/>
    </row>
    <row r="27" customFormat="false" ht="15" hidden="false" customHeight="false" outlineLevel="0" collapsed="false">
      <c r="A27" s="18" t="n">
        <v>26</v>
      </c>
      <c r="B27" s="19" t="s">
        <v>39</v>
      </c>
      <c r="C27" s="19" t="s">
        <v>114</v>
      </c>
      <c r="D27" s="19" t="s">
        <v>115</v>
      </c>
      <c r="E27" s="19" t="s">
        <v>54</v>
      </c>
      <c r="F27" s="20"/>
      <c r="G27" s="19" t="s">
        <v>55</v>
      </c>
      <c r="H27" s="21" t="str">
        <f aca="true">IF(F27="","",F27-TODAY())</f>
        <v/>
      </c>
      <c r="I27" s="22" t="s">
        <v>11</v>
      </c>
      <c r="J27" s="18" t="s">
        <v>8</v>
      </c>
      <c r="K27" s="19" t="s">
        <v>107</v>
      </c>
      <c r="L27" s="19"/>
      <c r="M27" s="19"/>
    </row>
    <row r="28" customFormat="false" ht="15" hidden="false" customHeight="false" outlineLevel="0" collapsed="false">
      <c r="A28" s="18" t="n">
        <v>27</v>
      </c>
      <c r="B28" s="19" t="s">
        <v>39</v>
      </c>
      <c r="C28" s="19" t="s">
        <v>116</v>
      </c>
      <c r="D28" s="19" t="s">
        <v>117</v>
      </c>
      <c r="E28" s="19" t="s">
        <v>54</v>
      </c>
      <c r="F28" s="20"/>
      <c r="G28" s="19" t="s">
        <v>55</v>
      </c>
      <c r="H28" s="21" t="str">
        <f aca="true">IF(F28="","",F28-TODAY())</f>
        <v/>
      </c>
      <c r="I28" s="22" t="s">
        <v>11</v>
      </c>
      <c r="J28" s="18" t="s">
        <v>10</v>
      </c>
      <c r="K28" s="19" t="s">
        <v>118</v>
      </c>
      <c r="L28" s="19"/>
      <c r="M28" s="19" t="s">
        <v>119</v>
      </c>
    </row>
    <row r="29" customFormat="false" ht="15" hidden="false" customHeight="false" outlineLevel="0" collapsed="false">
      <c r="A29" s="18" t="n">
        <v>28</v>
      </c>
      <c r="B29" s="19" t="s">
        <v>39</v>
      </c>
      <c r="C29" s="19" t="s">
        <v>98</v>
      </c>
      <c r="D29" s="19" t="s">
        <v>120</v>
      </c>
      <c r="E29" s="19" t="s">
        <v>100</v>
      </c>
      <c r="F29" s="20"/>
      <c r="G29" s="19" t="s">
        <v>121</v>
      </c>
      <c r="H29" s="21" t="str">
        <f aca="true">IF(F29="","",F29-TODAY())</f>
        <v/>
      </c>
      <c r="I29" s="28" t="s">
        <v>14</v>
      </c>
      <c r="J29" s="18" t="s">
        <v>10</v>
      </c>
      <c r="K29" s="19" t="s">
        <v>122</v>
      </c>
      <c r="L29" s="19" t="s">
        <v>103</v>
      </c>
      <c r="M29" s="19" t="s">
        <v>123</v>
      </c>
    </row>
    <row r="30" customFormat="false" ht="15" hidden="false" customHeight="false" outlineLevel="0" collapsed="false">
      <c r="A30" s="18" t="n">
        <v>29</v>
      </c>
      <c r="B30" s="19" t="s">
        <v>124</v>
      </c>
      <c r="C30" s="19" t="s">
        <v>125</v>
      </c>
      <c r="D30" s="19" t="s">
        <v>126</v>
      </c>
      <c r="E30" s="19" t="s">
        <v>42</v>
      </c>
      <c r="F30" s="20" t="n">
        <v>46265</v>
      </c>
      <c r="G30" s="19" t="s">
        <v>55</v>
      </c>
      <c r="H30" s="21" t="n">
        <f aca="true">IF(F30="","",F30-TODAY())</f>
        <v>-37</v>
      </c>
      <c r="I30" s="24" t="s">
        <v>16</v>
      </c>
      <c r="J30" s="18" t="s">
        <v>8</v>
      </c>
      <c r="K30" s="19" t="s">
        <v>127</v>
      </c>
      <c r="L30" s="19" t="s">
        <v>128</v>
      </c>
      <c r="M30" s="19" t="s">
        <v>129</v>
      </c>
    </row>
    <row r="31" customFormat="false" ht="15" hidden="false" customHeight="false" outlineLevel="0" collapsed="false">
      <c r="A31" s="18" t="n">
        <v>30</v>
      </c>
      <c r="B31" s="19" t="s">
        <v>124</v>
      </c>
      <c r="C31" s="19" t="s">
        <v>125</v>
      </c>
      <c r="D31" s="19" t="s">
        <v>130</v>
      </c>
      <c r="E31" s="19" t="s">
        <v>42</v>
      </c>
      <c r="F31" s="20" t="n">
        <v>46295</v>
      </c>
      <c r="G31" s="19" t="s">
        <v>55</v>
      </c>
      <c r="H31" s="21" t="n">
        <f aca="true">IF(F31="","",F31-TODAY())</f>
        <v>-7</v>
      </c>
      <c r="I31" s="27" t="s">
        <v>12</v>
      </c>
      <c r="J31" s="18" t="s">
        <v>8</v>
      </c>
      <c r="K31" s="19" t="s">
        <v>131</v>
      </c>
      <c r="L31" s="19" t="s">
        <v>128</v>
      </c>
      <c r="M31" s="19" t="s">
        <v>132</v>
      </c>
    </row>
    <row r="32" customFormat="false" ht="35.05" hidden="false" customHeight="false" outlineLevel="0" collapsed="false">
      <c r="A32" s="18" t="n">
        <v>31</v>
      </c>
      <c r="B32" s="19" t="s">
        <v>133</v>
      </c>
      <c r="C32" s="19" t="s">
        <v>134</v>
      </c>
      <c r="D32" s="19" t="s">
        <v>135</v>
      </c>
      <c r="E32" s="19" t="s">
        <v>100</v>
      </c>
      <c r="F32" s="20" t="n">
        <v>46265</v>
      </c>
      <c r="G32" s="19" t="s">
        <v>136</v>
      </c>
      <c r="H32" s="21" t="n">
        <f aca="true">IF(F32="","",F32-TODAY())</f>
        <v>-37</v>
      </c>
      <c r="I32" s="24" t="s">
        <v>16</v>
      </c>
      <c r="J32" s="18" t="s">
        <v>6</v>
      </c>
      <c r="K32" s="19" t="s">
        <v>137</v>
      </c>
      <c r="L32" s="19" t="s">
        <v>138</v>
      </c>
      <c r="M32" s="19" t="s">
        <v>139</v>
      </c>
    </row>
    <row r="33" customFormat="false" ht="35.05" hidden="false" customHeight="false" outlineLevel="0" collapsed="false">
      <c r="A33" s="18" t="n">
        <v>32</v>
      </c>
      <c r="B33" s="19" t="s">
        <v>133</v>
      </c>
      <c r="C33" s="19" t="s">
        <v>140</v>
      </c>
      <c r="D33" s="19" t="s">
        <v>141</v>
      </c>
      <c r="E33" s="19" t="s">
        <v>54</v>
      </c>
      <c r="F33" s="20"/>
      <c r="G33" s="19" t="s">
        <v>55</v>
      </c>
      <c r="H33" s="21" t="str">
        <f aca="true">IF(F33="","",F33-TODAY())</f>
        <v/>
      </c>
      <c r="I33" s="29" t="s">
        <v>9</v>
      </c>
      <c r="J33" s="18" t="s">
        <v>6</v>
      </c>
      <c r="K33" s="19" t="s">
        <v>142</v>
      </c>
      <c r="L33" s="19"/>
      <c r="M33" s="19" t="s">
        <v>143</v>
      </c>
    </row>
    <row r="34" customFormat="false" ht="15" hidden="false" customHeight="false" outlineLevel="0" collapsed="false">
      <c r="A34" s="18" t="n">
        <v>33</v>
      </c>
      <c r="B34" s="19" t="s">
        <v>133</v>
      </c>
      <c r="C34" s="19" t="s">
        <v>144</v>
      </c>
      <c r="D34" s="19" t="s">
        <v>145</v>
      </c>
      <c r="E34" s="19" t="s">
        <v>54</v>
      </c>
      <c r="F34" s="20"/>
      <c r="G34" s="19" t="s">
        <v>146</v>
      </c>
      <c r="H34" s="21" t="str">
        <f aca="true">IF(F34="","",F34-TODAY())</f>
        <v/>
      </c>
      <c r="I34" s="23" t="s">
        <v>7</v>
      </c>
      <c r="J34" s="18" t="s">
        <v>8</v>
      </c>
      <c r="K34" s="19" t="s">
        <v>147</v>
      </c>
      <c r="L34" s="19"/>
      <c r="M34" s="19" t="s">
        <v>148</v>
      </c>
    </row>
    <row r="35" customFormat="false" ht="15" hidden="false" customHeight="false" outlineLevel="0" collapsed="false">
      <c r="A35" s="18" t="n">
        <v>34</v>
      </c>
      <c r="B35" s="19" t="s">
        <v>133</v>
      </c>
      <c r="C35" s="19" t="s">
        <v>149</v>
      </c>
      <c r="D35" s="19" t="s">
        <v>150</v>
      </c>
      <c r="E35" s="19" t="s">
        <v>54</v>
      </c>
      <c r="F35" s="20"/>
      <c r="G35" s="19" t="s">
        <v>55</v>
      </c>
      <c r="H35" s="21" t="str">
        <f aca="true">IF(F35="","",F35-TODAY())</f>
        <v/>
      </c>
      <c r="I35" s="23" t="s">
        <v>7</v>
      </c>
      <c r="J35" s="18" t="s">
        <v>8</v>
      </c>
      <c r="K35" s="19" t="s">
        <v>151</v>
      </c>
      <c r="L35" s="19"/>
      <c r="M35" s="19" t="s">
        <v>148</v>
      </c>
    </row>
    <row r="36" customFormat="false" ht="15" hidden="false" customHeight="false" outlineLevel="0" collapsed="false">
      <c r="A36" s="18" t="n">
        <v>35</v>
      </c>
      <c r="B36" s="19" t="s">
        <v>133</v>
      </c>
      <c r="C36" s="19" t="s">
        <v>152</v>
      </c>
      <c r="D36" s="19" t="s">
        <v>153</v>
      </c>
      <c r="E36" s="19" t="s">
        <v>54</v>
      </c>
      <c r="F36" s="20"/>
      <c r="G36" s="19" t="s">
        <v>154</v>
      </c>
      <c r="H36" s="21" t="str">
        <f aca="true">IF(F36="","",F36-TODAY())</f>
        <v/>
      </c>
      <c r="I36" s="23" t="s">
        <v>7</v>
      </c>
      <c r="J36" s="18" t="s">
        <v>8</v>
      </c>
      <c r="K36" s="19" t="s">
        <v>155</v>
      </c>
      <c r="L36" s="19"/>
      <c r="M36" s="19" t="s">
        <v>156</v>
      </c>
    </row>
    <row r="37" customFormat="false" ht="15" hidden="false" customHeight="false" outlineLevel="0" collapsed="false">
      <c r="A37" s="18" t="n">
        <v>36</v>
      </c>
      <c r="B37" s="19" t="s">
        <v>133</v>
      </c>
      <c r="C37" s="19" t="s">
        <v>157</v>
      </c>
      <c r="D37" s="19" t="s">
        <v>158</v>
      </c>
      <c r="E37" s="19" t="s">
        <v>54</v>
      </c>
      <c r="F37" s="20"/>
      <c r="G37" s="19" t="s">
        <v>55</v>
      </c>
      <c r="H37" s="21" t="str">
        <f aca="true">IF(F37="","",F37-TODAY())</f>
        <v/>
      </c>
      <c r="I37" s="23" t="s">
        <v>7</v>
      </c>
      <c r="J37" s="18" t="s">
        <v>10</v>
      </c>
      <c r="K37" s="19" t="s">
        <v>151</v>
      </c>
      <c r="L37" s="19"/>
      <c r="M37" s="19"/>
    </row>
    <row r="38" customFormat="false" ht="15" hidden="false" customHeight="false" outlineLevel="0" collapsed="false">
      <c r="A38" s="18" t="n">
        <v>37</v>
      </c>
      <c r="B38" s="19" t="s">
        <v>133</v>
      </c>
      <c r="C38" s="19" t="s">
        <v>159</v>
      </c>
      <c r="D38" s="19" t="s">
        <v>160</v>
      </c>
      <c r="E38" s="19" t="s">
        <v>54</v>
      </c>
      <c r="F38" s="20"/>
      <c r="G38" s="19" t="s">
        <v>55</v>
      </c>
      <c r="H38" s="21" t="str">
        <f aca="true">IF(F38="","",F38-TODAY())</f>
        <v/>
      </c>
      <c r="I38" s="27" t="s">
        <v>12</v>
      </c>
      <c r="J38" s="18" t="s">
        <v>10</v>
      </c>
      <c r="K38" s="19" t="s">
        <v>161</v>
      </c>
      <c r="L38" s="19"/>
      <c r="M38" s="19" t="s">
        <v>162</v>
      </c>
    </row>
    <row r="39" customFormat="false" ht="15" hidden="false" customHeight="false" outlineLevel="0" collapsed="false">
      <c r="A39" s="18" t="n">
        <v>38</v>
      </c>
      <c r="B39" s="19" t="s">
        <v>133</v>
      </c>
      <c r="C39" s="19" t="s">
        <v>163</v>
      </c>
      <c r="D39" s="19" t="s">
        <v>164</v>
      </c>
      <c r="E39" s="19" t="s">
        <v>54</v>
      </c>
      <c r="F39" s="20"/>
      <c r="G39" s="19" t="s">
        <v>55</v>
      </c>
      <c r="H39" s="21" t="str">
        <f aca="true">IF(F39="","",F39-TODAY())</f>
        <v/>
      </c>
      <c r="I39" s="27" t="s">
        <v>12</v>
      </c>
      <c r="J39" s="18" t="s">
        <v>10</v>
      </c>
      <c r="K39" s="19" t="s">
        <v>161</v>
      </c>
      <c r="L39" s="19"/>
      <c r="M39" s="19" t="s">
        <v>162</v>
      </c>
    </row>
    <row r="40" customFormat="false" ht="35.05" hidden="false" customHeight="false" outlineLevel="0" collapsed="false">
      <c r="A40" s="18" t="n">
        <v>39</v>
      </c>
      <c r="B40" s="19" t="s">
        <v>133</v>
      </c>
      <c r="C40" s="19" t="s">
        <v>165</v>
      </c>
      <c r="D40" s="19" t="s">
        <v>166</v>
      </c>
      <c r="E40" s="19" t="s">
        <v>42</v>
      </c>
      <c r="F40" s="20"/>
      <c r="G40" s="19" t="s">
        <v>167</v>
      </c>
      <c r="H40" s="21" t="str">
        <f aca="true">IF(F40="","",F40-TODAY())</f>
        <v/>
      </c>
      <c r="I40" s="27" t="s">
        <v>12</v>
      </c>
      <c r="J40" s="18" t="s">
        <v>6</v>
      </c>
      <c r="K40" s="19" t="s">
        <v>168</v>
      </c>
      <c r="L40" s="19" t="s">
        <v>169</v>
      </c>
      <c r="M40" s="19" t="s">
        <v>170</v>
      </c>
    </row>
    <row r="41" customFormat="false" ht="15" hidden="false" customHeight="false" outlineLevel="0" collapsed="false">
      <c r="A41" s="18" t="n">
        <v>40</v>
      </c>
      <c r="B41" s="19" t="s">
        <v>171</v>
      </c>
      <c r="C41" s="19" t="s">
        <v>172</v>
      </c>
      <c r="D41" s="19" t="s">
        <v>173</v>
      </c>
      <c r="E41" s="19" t="s">
        <v>100</v>
      </c>
      <c r="F41" s="20" t="n">
        <v>46253</v>
      </c>
      <c r="G41" s="19" t="s">
        <v>174</v>
      </c>
      <c r="H41" s="21" t="n">
        <f aca="true">IF(F41="","",F41-TODAY())</f>
        <v>-49</v>
      </c>
      <c r="I41" s="30" t="s">
        <v>17</v>
      </c>
      <c r="J41" s="18" t="s">
        <v>10</v>
      </c>
      <c r="K41" s="19" t="s">
        <v>175</v>
      </c>
      <c r="L41" s="19"/>
      <c r="M41" s="19" t="s">
        <v>176</v>
      </c>
    </row>
    <row r="42" customFormat="false" ht="15" hidden="false" customHeight="false" outlineLevel="0" collapsed="false">
      <c r="A42" s="18" t="n">
        <v>41</v>
      </c>
      <c r="B42" s="19" t="s">
        <v>171</v>
      </c>
      <c r="C42" s="19" t="s">
        <v>177</v>
      </c>
      <c r="D42" s="19" t="s">
        <v>178</v>
      </c>
      <c r="E42" s="19" t="s">
        <v>100</v>
      </c>
      <c r="F42" s="20"/>
      <c r="G42" s="19" t="s">
        <v>179</v>
      </c>
      <c r="H42" s="21" t="str">
        <f aca="true">IF(F42="","",F42-TODAY())</f>
        <v/>
      </c>
      <c r="I42" s="27" t="s">
        <v>12</v>
      </c>
      <c r="J42" s="18" t="s">
        <v>6</v>
      </c>
      <c r="K42" s="19" t="s">
        <v>180</v>
      </c>
      <c r="L42" s="19"/>
      <c r="M42" s="19"/>
    </row>
    <row r="43" customFormat="false" ht="15" hidden="false" customHeight="false" outlineLevel="0" collapsed="false">
      <c r="A43" s="18" t="n">
        <v>42</v>
      </c>
      <c r="B43" s="19" t="s">
        <v>171</v>
      </c>
      <c r="C43" s="19" t="s">
        <v>181</v>
      </c>
      <c r="D43" s="19" t="s">
        <v>182</v>
      </c>
      <c r="E43" s="19" t="s">
        <v>54</v>
      </c>
      <c r="F43" s="20"/>
      <c r="G43" s="19" t="s">
        <v>55</v>
      </c>
      <c r="H43" s="21" t="str">
        <f aca="true">IF(F43="","",F43-TODAY())</f>
        <v/>
      </c>
      <c r="I43" s="23" t="s">
        <v>7</v>
      </c>
      <c r="J43" s="18" t="s">
        <v>8</v>
      </c>
      <c r="K43" s="19" t="s">
        <v>151</v>
      </c>
      <c r="L43" s="19"/>
      <c r="M43" s="19" t="s">
        <v>183</v>
      </c>
    </row>
    <row r="44" customFormat="false" ht="15" hidden="false" customHeight="false" outlineLevel="0" collapsed="false">
      <c r="A44" s="18" t="n">
        <v>43</v>
      </c>
      <c r="B44" s="19" t="s">
        <v>171</v>
      </c>
      <c r="C44" s="19" t="s">
        <v>184</v>
      </c>
      <c r="D44" s="19" t="s">
        <v>185</v>
      </c>
      <c r="E44" s="19" t="s">
        <v>54</v>
      </c>
      <c r="F44" s="20"/>
      <c r="G44" s="19" t="s">
        <v>55</v>
      </c>
      <c r="H44" s="21" t="str">
        <f aca="true">IF(F44="","",F44-TODAY())</f>
        <v/>
      </c>
      <c r="I44" s="23" t="s">
        <v>7</v>
      </c>
      <c r="J44" s="18" t="s">
        <v>8</v>
      </c>
      <c r="K44" s="19" t="s">
        <v>151</v>
      </c>
      <c r="L44" s="19"/>
      <c r="M44" s="19" t="s">
        <v>183</v>
      </c>
    </row>
    <row r="45" customFormat="false" ht="15" hidden="false" customHeight="false" outlineLevel="0" collapsed="false">
      <c r="A45" s="18" t="n">
        <v>44</v>
      </c>
      <c r="B45" s="19" t="s">
        <v>171</v>
      </c>
      <c r="C45" s="19" t="s">
        <v>181</v>
      </c>
      <c r="D45" s="19" t="s">
        <v>186</v>
      </c>
      <c r="E45" s="19" t="s">
        <v>54</v>
      </c>
      <c r="F45" s="20"/>
      <c r="G45" s="19" t="s">
        <v>55</v>
      </c>
      <c r="H45" s="21" t="str">
        <f aca="true">IF(F45="","",F45-TODAY())</f>
        <v/>
      </c>
      <c r="I45" s="23" t="s">
        <v>7</v>
      </c>
      <c r="J45" s="18" t="s">
        <v>8</v>
      </c>
      <c r="K45" s="19" t="s">
        <v>151</v>
      </c>
      <c r="L45" s="19"/>
      <c r="M45" s="19" t="s">
        <v>183</v>
      </c>
    </row>
    <row r="46" customFormat="false" ht="15" hidden="false" customHeight="false" outlineLevel="0" collapsed="false">
      <c r="A46" s="18" t="n">
        <v>45</v>
      </c>
      <c r="B46" s="19" t="s">
        <v>171</v>
      </c>
      <c r="C46" s="19" t="s">
        <v>181</v>
      </c>
      <c r="D46" s="19" t="s">
        <v>187</v>
      </c>
      <c r="E46" s="19" t="s">
        <v>54</v>
      </c>
      <c r="F46" s="20"/>
      <c r="G46" s="19" t="s">
        <v>55</v>
      </c>
      <c r="H46" s="21" t="str">
        <f aca="true">IF(F46="","",F46-TODAY())</f>
        <v/>
      </c>
      <c r="I46" s="23" t="s">
        <v>7</v>
      </c>
      <c r="J46" s="18" t="s">
        <v>8</v>
      </c>
      <c r="K46" s="19" t="s">
        <v>151</v>
      </c>
      <c r="L46" s="19"/>
      <c r="M46" s="19" t="s">
        <v>183</v>
      </c>
    </row>
    <row r="47" customFormat="false" ht="15" hidden="false" customHeight="false" outlineLevel="0" collapsed="false">
      <c r="A47" s="18" t="n">
        <v>46</v>
      </c>
      <c r="B47" s="19" t="s">
        <v>188</v>
      </c>
      <c r="C47" s="19" t="s">
        <v>189</v>
      </c>
      <c r="D47" s="19" t="s">
        <v>190</v>
      </c>
      <c r="E47" s="19" t="s">
        <v>42</v>
      </c>
      <c r="F47" s="20" t="n">
        <v>46288</v>
      </c>
      <c r="G47" s="19" t="s">
        <v>191</v>
      </c>
      <c r="H47" s="21" t="n">
        <f aca="true">IF(F47="","",F47-TODAY())</f>
        <v>-14</v>
      </c>
      <c r="I47" s="25" t="s">
        <v>5</v>
      </c>
      <c r="J47" s="18" t="s">
        <v>6</v>
      </c>
      <c r="K47" s="19" t="s">
        <v>192</v>
      </c>
      <c r="L47" s="19"/>
      <c r="M47" s="19" t="s">
        <v>73</v>
      </c>
    </row>
    <row r="48" customFormat="false" ht="15" hidden="false" customHeight="false" outlineLevel="0" collapsed="false">
      <c r="A48" s="18" t="n">
        <v>47</v>
      </c>
      <c r="B48" s="19" t="s">
        <v>188</v>
      </c>
      <c r="C48" s="19" t="s">
        <v>193</v>
      </c>
      <c r="D48" s="19" t="s">
        <v>194</v>
      </c>
      <c r="E48" s="19" t="s">
        <v>42</v>
      </c>
      <c r="F48" s="20" t="n">
        <v>46234</v>
      </c>
      <c r="G48" s="19" t="s">
        <v>55</v>
      </c>
      <c r="H48" s="21" t="n">
        <f aca="true">IF(F48="","",F48-TODAY())</f>
        <v>-68</v>
      </c>
      <c r="I48" s="24" t="s">
        <v>16</v>
      </c>
      <c r="J48" s="18" t="s">
        <v>10</v>
      </c>
      <c r="K48" s="19" t="s">
        <v>76</v>
      </c>
      <c r="L48" s="19"/>
      <c r="M48" s="19"/>
    </row>
    <row r="49" customFormat="false" ht="15" hidden="false" customHeight="false" outlineLevel="0" collapsed="false">
      <c r="A49" s="18" t="n">
        <v>48</v>
      </c>
      <c r="B49" s="19" t="s">
        <v>188</v>
      </c>
      <c r="C49" s="19" t="s">
        <v>193</v>
      </c>
      <c r="D49" s="19" t="s">
        <v>195</v>
      </c>
      <c r="E49" s="19" t="s">
        <v>42</v>
      </c>
      <c r="F49" s="20"/>
      <c r="G49" s="19" t="s">
        <v>55</v>
      </c>
      <c r="H49" s="21" t="str">
        <f aca="true">IF(F49="","",F49-TODAY())</f>
        <v/>
      </c>
      <c r="I49" s="27" t="s">
        <v>12</v>
      </c>
      <c r="J49" s="18" t="s">
        <v>8</v>
      </c>
      <c r="K49" s="19" t="s">
        <v>196</v>
      </c>
      <c r="L49" s="19"/>
      <c r="M49" s="19" t="s">
        <v>197</v>
      </c>
    </row>
    <row r="50" customFormat="false" ht="15" hidden="false" customHeight="false" outlineLevel="0" collapsed="false">
      <c r="A50" s="18" t="n">
        <v>49</v>
      </c>
      <c r="B50" s="19" t="s">
        <v>188</v>
      </c>
      <c r="C50" s="19" t="s">
        <v>198</v>
      </c>
      <c r="D50" s="19" t="s">
        <v>199</v>
      </c>
      <c r="E50" s="19" t="s">
        <v>42</v>
      </c>
      <c r="F50" s="20" t="n">
        <v>46166</v>
      </c>
      <c r="G50" s="19" t="s">
        <v>55</v>
      </c>
      <c r="H50" s="21" t="n">
        <f aca="true">IF(F50="","",F50-TODAY())</f>
        <v>-136</v>
      </c>
      <c r="I50" s="26" t="s">
        <v>18</v>
      </c>
      <c r="J50" s="18" t="s">
        <v>10</v>
      </c>
      <c r="K50" s="19" t="s">
        <v>76</v>
      </c>
      <c r="L50" s="19"/>
      <c r="M50" s="19"/>
    </row>
    <row r="51" customFormat="false" ht="23.85" hidden="false" customHeight="false" outlineLevel="0" collapsed="false">
      <c r="A51" s="18" t="n">
        <v>50</v>
      </c>
      <c r="B51" s="19" t="s">
        <v>188</v>
      </c>
      <c r="C51" s="19" t="s">
        <v>198</v>
      </c>
      <c r="D51" s="19" t="s">
        <v>200</v>
      </c>
      <c r="E51" s="19" t="s">
        <v>42</v>
      </c>
      <c r="F51" s="20"/>
      <c r="G51" s="19" t="s">
        <v>55</v>
      </c>
      <c r="H51" s="21" t="str">
        <f aca="true">IF(F51="","",F51-TODAY())</f>
        <v/>
      </c>
      <c r="I51" s="27" t="s">
        <v>12</v>
      </c>
      <c r="J51" s="18" t="s">
        <v>10</v>
      </c>
      <c r="K51" s="19" t="s">
        <v>201</v>
      </c>
      <c r="L51" s="19"/>
      <c r="M51" s="19" t="s">
        <v>202</v>
      </c>
    </row>
    <row r="52" customFormat="false" ht="15" hidden="false" customHeight="false" outlineLevel="0" collapsed="false">
      <c r="A52" s="18" t="n">
        <v>51</v>
      </c>
      <c r="B52" s="19" t="s">
        <v>188</v>
      </c>
      <c r="C52" s="19" t="s">
        <v>203</v>
      </c>
      <c r="D52" s="19" t="s">
        <v>204</v>
      </c>
      <c r="E52" s="19" t="s">
        <v>42</v>
      </c>
      <c r="F52" s="20" t="n">
        <v>46237</v>
      </c>
      <c r="G52" s="19" t="s">
        <v>55</v>
      </c>
      <c r="H52" s="21" t="n">
        <f aca="true">IF(F52="","",F52-TODAY())</f>
        <v>-65</v>
      </c>
      <c r="I52" s="24" t="s">
        <v>16</v>
      </c>
      <c r="J52" s="18" t="s">
        <v>10</v>
      </c>
      <c r="K52" s="19" t="s">
        <v>76</v>
      </c>
      <c r="L52" s="19"/>
      <c r="M52" s="19" t="s">
        <v>205</v>
      </c>
    </row>
    <row r="53" customFormat="false" ht="15" hidden="false" customHeight="false" outlineLevel="0" collapsed="false">
      <c r="A53" s="18" t="n">
        <v>52</v>
      </c>
      <c r="B53" s="19" t="s">
        <v>206</v>
      </c>
      <c r="C53" s="19" t="s">
        <v>207</v>
      </c>
      <c r="D53" s="19" t="s">
        <v>208</v>
      </c>
      <c r="E53" s="19" t="s">
        <v>42</v>
      </c>
      <c r="F53" s="20"/>
      <c r="G53" s="19" t="s">
        <v>55</v>
      </c>
      <c r="H53" s="21" t="str">
        <f aca="true">IF(F53="","",F53-TODAY())</f>
        <v/>
      </c>
      <c r="I53" s="25" t="s">
        <v>5</v>
      </c>
      <c r="J53" s="18" t="s">
        <v>8</v>
      </c>
      <c r="K53" s="19" t="s">
        <v>72</v>
      </c>
      <c r="L53" s="19"/>
      <c r="M53" s="19" t="s">
        <v>73</v>
      </c>
    </row>
    <row r="54" customFormat="false" ht="15" hidden="false" customHeight="false" outlineLevel="0" collapsed="false">
      <c r="A54" s="18" t="n">
        <v>53</v>
      </c>
      <c r="B54" s="19" t="s">
        <v>206</v>
      </c>
      <c r="C54" s="19" t="s">
        <v>209</v>
      </c>
      <c r="D54" s="19" t="s">
        <v>210</v>
      </c>
      <c r="E54" s="19" t="s">
        <v>42</v>
      </c>
      <c r="F54" s="20" t="n">
        <v>46234</v>
      </c>
      <c r="G54" s="19" t="s">
        <v>55</v>
      </c>
      <c r="H54" s="21" t="n">
        <f aca="true">IF(F54="","",F54-TODAY())</f>
        <v>-68</v>
      </c>
      <c r="I54" s="25" t="s">
        <v>5</v>
      </c>
      <c r="J54" s="18" t="s">
        <v>6</v>
      </c>
      <c r="K54" s="19" t="s">
        <v>211</v>
      </c>
      <c r="L54" s="19"/>
      <c r="M54" s="19" t="s">
        <v>212</v>
      </c>
    </row>
    <row r="55" customFormat="false" ht="23.85" hidden="false" customHeight="false" outlineLevel="0" collapsed="false">
      <c r="A55" s="18" t="n">
        <v>54</v>
      </c>
      <c r="B55" s="19" t="s">
        <v>213</v>
      </c>
      <c r="C55" s="19" t="s">
        <v>214</v>
      </c>
      <c r="D55" s="19" t="s">
        <v>215</v>
      </c>
      <c r="E55" s="19" t="s">
        <v>42</v>
      </c>
      <c r="F55" s="20"/>
      <c r="G55" s="19" t="s">
        <v>55</v>
      </c>
      <c r="H55" s="21" t="str">
        <f aca="true">IF(F55="","",F55-TODAY())</f>
        <v/>
      </c>
      <c r="I55" s="25" t="s">
        <v>5</v>
      </c>
      <c r="J55" s="18" t="s">
        <v>8</v>
      </c>
      <c r="K55" s="19" t="s">
        <v>72</v>
      </c>
      <c r="L55" s="19"/>
      <c r="M55" s="19" t="s">
        <v>216</v>
      </c>
    </row>
    <row r="56" customFormat="false" ht="35.05" hidden="false" customHeight="false" outlineLevel="0" collapsed="false">
      <c r="A56" s="18" t="n">
        <v>55</v>
      </c>
      <c r="B56" s="19" t="s">
        <v>217</v>
      </c>
      <c r="C56" s="19" t="s">
        <v>218</v>
      </c>
      <c r="D56" s="19" t="s">
        <v>219</v>
      </c>
      <c r="E56" s="19" t="s">
        <v>42</v>
      </c>
      <c r="F56" s="20" t="n">
        <v>46281</v>
      </c>
      <c r="G56" s="19" t="s">
        <v>220</v>
      </c>
      <c r="H56" s="21" t="n">
        <f aca="true">IF(F56="","",F56-TODAY())</f>
        <v>-21</v>
      </c>
      <c r="I56" s="27" t="s">
        <v>12</v>
      </c>
      <c r="J56" s="18" t="s">
        <v>6</v>
      </c>
      <c r="K56" s="19" t="s">
        <v>221</v>
      </c>
      <c r="L56" s="19" t="s">
        <v>222</v>
      </c>
      <c r="M56" s="19" t="s">
        <v>223</v>
      </c>
    </row>
    <row r="57" customFormat="false" ht="23.85" hidden="false" customHeight="false" outlineLevel="0" collapsed="false">
      <c r="A57" s="18" t="n">
        <v>56</v>
      </c>
      <c r="B57" s="19" t="s">
        <v>217</v>
      </c>
      <c r="C57" s="19" t="s">
        <v>218</v>
      </c>
      <c r="D57" s="19" t="s">
        <v>224</v>
      </c>
      <c r="E57" s="19" t="s">
        <v>42</v>
      </c>
      <c r="F57" s="20" t="n">
        <v>46281</v>
      </c>
      <c r="G57" s="19" t="s">
        <v>55</v>
      </c>
      <c r="H57" s="21" t="n">
        <f aca="true">IF(F57="","",F57-TODAY())</f>
        <v>-21</v>
      </c>
      <c r="I57" s="27" t="s">
        <v>12</v>
      </c>
      <c r="J57" s="18" t="s">
        <v>8</v>
      </c>
      <c r="K57" s="19" t="s">
        <v>225</v>
      </c>
      <c r="L57" s="19"/>
      <c r="M57" s="19" t="s">
        <v>226</v>
      </c>
    </row>
    <row r="58" customFormat="false" ht="15" hidden="false" customHeight="false" outlineLevel="0" collapsed="false">
      <c r="A58" s="18" t="n">
        <v>57</v>
      </c>
      <c r="B58" s="19" t="s">
        <v>217</v>
      </c>
      <c r="C58" s="19" t="s">
        <v>218</v>
      </c>
      <c r="D58" s="19" t="s">
        <v>227</v>
      </c>
      <c r="E58" s="19" t="s">
        <v>42</v>
      </c>
      <c r="F58" s="20"/>
      <c r="G58" s="19" t="s">
        <v>55</v>
      </c>
      <c r="H58" s="21" t="str">
        <f aca="true">IF(F58="","",F58-TODAY())</f>
        <v/>
      </c>
      <c r="I58" s="27" t="s">
        <v>12</v>
      </c>
      <c r="J58" s="18" t="s">
        <v>8</v>
      </c>
      <c r="K58" s="19" t="s">
        <v>225</v>
      </c>
      <c r="L58" s="19"/>
      <c r="M58" s="19" t="s">
        <v>226</v>
      </c>
    </row>
    <row r="59" customFormat="false" ht="15" hidden="false" customHeight="false" outlineLevel="0" collapsed="false">
      <c r="A59" s="18" t="n">
        <v>58</v>
      </c>
      <c r="B59" s="19" t="s">
        <v>228</v>
      </c>
      <c r="C59" s="19" t="s">
        <v>229</v>
      </c>
      <c r="D59" s="19" t="s">
        <v>230</v>
      </c>
      <c r="E59" s="19" t="s">
        <v>54</v>
      </c>
      <c r="F59" s="20"/>
      <c r="G59" s="19" t="s">
        <v>55</v>
      </c>
      <c r="H59" s="21" t="str">
        <f aca="true">IF(F59="","",F59-TODAY())</f>
        <v/>
      </c>
      <c r="I59" s="23" t="s">
        <v>7</v>
      </c>
      <c r="J59" s="18" t="s">
        <v>8</v>
      </c>
      <c r="K59" s="19" t="s">
        <v>151</v>
      </c>
      <c r="L59" s="19" t="s">
        <v>231</v>
      </c>
      <c r="M59" s="19" t="s">
        <v>232</v>
      </c>
    </row>
    <row r="60" customFormat="false" ht="15" hidden="false" customHeight="false" outlineLevel="0" collapsed="false">
      <c r="A60" s="18" t="n">
        <v>59</v>
      </c>
      <c r="B60" s="19" t="s">
        <v>228</v>
      </c>
      <c r="C60" s="19" t="s">
        <v>229</v>
      </c>
      <c r="D60" s="19" t="s">
        <v>233</v>
      </c>
      <c r="E60" s="19" t="s">
        <v>54</v>
      </c>
      <c r="F60" s="20"/>
      <c r="G60" s="19" t="s">
        <v>55</v>
      </c>
      <c r="H60" s="21" t="str">
        <f aca="true">IF(F60="","",F60-TODAY())</f>
        <v/>
      </c>
      <c r="I60" s="22" t="s">
        <v>11</v>
      </c>
      <c r="J60" s="18" t="s">
        <v>8</v>
      </c>
      <c r="K60" s="19" t="s">
        <v>234</v>
      </c>
      <c r="L60" s="19"/>
      <c r="M60" s="19" t="s">
        <v>235</v>
      </c>
    </row>
    <row r="61" customFormat="false" ht="23.85" hidden="false" customHeight="false" outlineLevel="0" collapsed="false">
      <c r="A61" s="18" t="n">
        <v>60</v>
      </c>
      <c r="B61" s="19" t="s">
        <v>228</v>
      </c>
      <c r="C61" s="19" t="s">
        <v>236</v>
      </c>
      <c r="D61" s="19" t="s">
        <v>237</v>
      </c>
      <c r="E61" s="19" t="s">
        <v>100</v>
      </c>
      <c r="F61" s="20"/>
      <c r="G61" s="19" t="s">
        <v>238</v>
      </c>
      <c r="H61" s="21" t="str">
        <f aca="true">IF(F61="","",F61-TODAY())</f>
        <v/>
      </c>
      <c r="I61" s="27" t="s">
        <v>12</v>
      </c>
      <c r="J61" s="18" t="s">
        <v>6</v>
      </c>
      <c r="K61" s="19" t="s">
        <v>239</v>
      </c>
      <c r="L61" s="19"/>
      <c r="M61" s="19" t="s">
        <v>240</v>
      </c>
    </row>
    <row r="62" customFormat="false" ht="15" hidden="false" customHeight="false" outlineLevel="0" collapsed="false">
      <c r="A62" s="18" t="n">
        <v>61</v>
      </c>
      <c r="B62" s="19" t="s">
        <v>228</v>
      </c>
      <c r="C62" s="19" t="s">
        <v>241</v>
      </c>
      <c r="D62" s="19" t="s">
        <v>242</v>
      </c>
      <c r="E62" s="19" t="s">
        <v>100</v>
      </c>
      <c r="F62" s="20"/>
      <c r="G62" s="19" t="s">
        <v>243</v>
      </c>
      <c r="H62" s="21" t="str">
        <f aca="true">IF(F62="","",F62-TODAY())</f>
        <v/>
      </c>
      <c r="I62" s="28" t="s">
        <v>14</v>
      </c>
      <c r="J62" s="18" t="s">
        <v>8</v>
      </c>
      <c r="K62" s="19" t="s">
        <v>244</v>
      </c>
      <c r="L62" s="19"/>
      <c r="M62" s="19"/>
    </row>
    <row r="63" customFormat="false" ht="15" hidden="false" customHeight="false" outlineLevel="0" collapsed="false">
      <c r="A63" s="18" t="n">
        <v>62</v>
      </c>
      <c r="B63" s="19" t="s">
        <v>245</v>
      </c>
      <c r="C63" s="19" t="s">
        <v>246</v>
      </c>
      <c r="D63" s="19" t="s">
        <v>247</v>
      </c>
      <c r="E63" s="19" t="s">
        <v>100</v>
      </c>
      <c r="F63" s="20" t="n">
        <v>46357</v>
      </c>
      <c r="G63" s="19" t="s">
        <v>248</v>
      </c>
      <c r="H63" s="21" t="n">
        <f aca="true">IF(F63="","",F63-TODAY())</f>
        <v>55</v>
      </c>
      <c r="I63" s="22" t="s">
        <v>11</v>
      </c>
      <c r="J63" s="18" t="s">
        <v>6</v>
      </c>
      <c r="K63" s="19" t="s">
        <v>249</v>
      </c>
      <c r="L63" s="19"/>
      <c r="M63" s="19" t="s">
        <v>250</v>
      </c>
    </row>
    <row r="64" customFormat="false" ht="15" hidden="false" customHeight="false" outlineLevel="0" collapsed="false">
      <c r="A64" s="18" t="n">
        <v>63</v>
      </c>
      <c r="B64" s="19" t="s">
        <v>251</v>
      </c>
      <c r="C64" s="19" t="s">
        <v>252</v>
      </c>
      <c r="D64" s="19" t="s">
        <v>253</v>
      </c>
      <c r="E64" s="19" t="s">
        <v>100</v>
      </c>
      <c r="F64" s="20" t="n">
        <v>46357</v>
      </c>
      <c r="G64" s="19" t="s">
        <v>254</v>
      </c>
      <c r="H64" s="21" t="n">
        <f aca="true">IF(F64="","",F64-TODAY())</f>
        <v>55</v>
      </c>
      <c r="I64" s="22" t="s">
        <v>11</v>
      </c>
      <c r="J64" s="18" t="s">
        <v>6</v>
      </c>
      <c r="K64" s="19" t="s">
        <v>255</v>
      </c>
      <c r="L64" s="19"/>
      <c r="M64" s="19"/>
    </row>
    <row r="65" customFormat="false" ht="15" hidden="false" customHeight="false" outlineLevel="0" collapsed="false">
      <c r="A65" s="18" t="n">
        <v>64</v>
      </c>
      <c r="B65" s="19" t="s">
        <v>256</v>
      </c>
      <c r="C65" s="19" t="s">
        <v>257</v>
      </c>
      <c r="D65" s="19" t="s">
        <v>258</v>
      </c>
      <c r="E65" s="19" t="s">
        <v>100</v>
      </c>
      <c r="F65" s="20"/>
      <c r="G65" s="19" t="s">
        <v>55</v>
      </c>
      <c r="H65" s="21" t="str">
        <f aca="true">IF(F65="","",F65-TODAY())</f>
        <v/>
      </c>
      <c r="I65" s="22" t="s">
        <v>11</v>
      </c>
      <c r="J65" s="18" t="s">
        <v>10</v>
      </c>
      <c r="K65" s="19" t="s">
        <v>259</v>
      </c>
      <c r="L65" s="19"/>
      <c r="M65" s="19" t="s">
        <v>260</v>
      </c>
    </row>
    <row r="66" customFormat="false" ht="23.85" hidden="false" customHeight="false" outlineLevel="0" collapsed="false">
      <c r="A66" s="18" t="n">
        <v>65</v>
      </c>
      <c r="B66" s="19" t="s">
        <v>256</v>
      </c>
      <c r="C66" s="19" t="s">
        <v>261</v>
      </c>
      <c r="D66" s="19" t="s">
        <v>262</v>
      </c>
      <c r="E66" s="19" t="s">
        <v>100</v>
      </c>
      <c r="F66" s="20"/>
      <c r="G66" s="19" t="s">
        <v>263</v>
      </c>
      <c r="H66" s="21" t="str">
        <f aca="true">IF(F66="","",F66-TODAY())</f>
        <v/>
      </c>
      <c r="I66" s="28" t="s">
        <v>14</v>
      </c>
      <c r="J66" s="18" t="s">
        <v>10</v>
      </c>
      <c r="K66" s="19" t="s">
        <v>264</v>
      </c>
      <c r="L66" s="19"/>
      <c r="M66" s="19"/>
    </row>
    <row r="67" customFormat="false" ht="15" hidden="false" customHeight="false" outlineLevel="0" collapsed="false">
      <c r="A67" s="18" t="n">
        <v>66</v>
      </c>
      <c r="B67" s="19" t="s">
        <v>265</v>
      </c>
      <c r="C67" s="19" t="s">
        <v>266</v>
      </c>
      <c r="D67" s="19" t="s">
        <v>267</v>
      </c>
      <c r="E67" s="19" t="s">
        <v>100</v>
      </c>
      <c r="F67" s="20"/>
      <c r="G67" s="19" t="s">
        <v>268</v>
      </c>
      <c r="H67" s="21" t="str">
        <f aca="true">IF(F67="","",F67-TODAY())</f>
        <v/>
      </c>
      <c r="I67" s="28" t="s">
        <v>14</v>
      </c>
      <c r="J67" s="18" t="s">
        <v>8</v>
      </c>
      <c r="K67" s="19" t="s">
        <v>269</v>
      </c>
      <c r="L67" s="19"/>
      <c r="M67" s="19"/>
    </row>
    <row r="68" customFormat="false" ht="15" hidden="false" customHeight="false" outlineLevel="0" collapsed="false">
      <c r="A68" s="18" t="n">
        <v>67</v>
      </c>
      <c r="B68" s="19" t="s">
        <v>265</v>
      </c>
      <c r="C68" s="19" t="s">
        <v>270</v>
      </c>
      <c r="D68" s="19" t="s">
        <v>271</v>
      </c>
      <c r="E68" s="19" t="s">
        <v>100</v>
      </c>
      <c r="F68" s="20"/>
      <c r="G68" s="19" t="s">
        <v>272</v>
      </c>
      <c r="H68" s="21" t="str">
        <f aca="true">IF(F68="","",F68-TODAY())</f>
        <v/>
      </c>
      <c r="I68" s="28" t="s">
        <v>14</v>
      </c>
      <c r="J68" s="18" t="s">
        <v>8</v>
      </c>
      <c r="K68" s="19" t="s">
        <v>273</v>
      </c>
      <c r="L68" s="19"/>
      <c r="M68" s="19"/>
    </row>
    <row r="69" customFormat="false" ht="15" hidden="false" customHeight="false" outlineLevel="0" collapsed="false">
      <c r="A69" s="18" t="n">
        <v>68</v>
      </c>
      <c r="B69" s="19" t="s">
        <v>265</v>
      </c>
      <c r="C69" s="19" t="s">
        <v>274</v>
      </c>
      <c r="D69" s="19" t="s">
        <v>275</v>
      </c>
      <c r="E69" s="19" t="s">
        <v>100</v>
      </c>
      <c r="F69" s="20"/>
      <c r="G69" s="19" t="s">
        <v>272</v>
      </c>
      <c r="H69" s="21" t="str">
        <f aca="true">IF(F69="","",F69-TODAY())</f>
        <v/>
      </c>
      <c r="I69" s="28" t="s">
        <v>14</v>
      </c>
      <c r="J69" s="18" t="s">
        <v>10</v>
      </c>
      <c r="K69" s="19" t="s">
        <v>276</v>
      </c>
      <c r="L69" s="19"/>
      <c r="M69" s="19"/>
    </row>
    <row r="70" customFormat="false" ht="35.05" hidden="false" customHeight="false" outlineLevel="0" collapsed="false">
      <c r="A70" s="18" t="n">
        <v>69</v>
      </c>
      <c r="B70" s="19" t="s">
        <v>277</v>
      </c>
      <c r="C70" s="19" t="s">
        <v>278</v>
      </c>
      <c r="D70" s="19" t="s">
        <v>279</v>
      </c>
      <c r="E70" s="19" t="s">
        <v>54</v>
      </c>
      <c r="F70" s="20"/>
      <c r="G70" s="19" t="s">
        <v>55</v>
      </c>
      <c r="H70" s="21" t="str">
        <f aca="true">IF(F70="","",F70-TODAY())</f>
        <v/>
      </c>
      <c r="I70" s="22" t="s">
        <v>11</v>
      </c>
      <c r="J70" s="18" t="s">
        <v>6</v>
      </c>
      <c r="K70" s="19" t="s">
        <v>280</v>
      </c>
      <c r="L70" s="19" t="s">
        <v>281</v>
      </c>
      <c r="M70" s="19" t="s">
        <v>282</v>
      </c>
    </row>
    <row r="71" customFormat="false" ht="23.85" hidden="false" customHeight="false" outlineLevel="0" collapsed="false">
      <c r="A71" s="18" t="n">
        <v>70</v>
      </c>
      <c r="B71" s="19" t="s">
        <v>277</v>
      </c>
      <c r="C71" s="19" t="s">
        <v>283</v>
      </c>
      <c r="D71" s="19" t="s">
        <v>284</v>
      </c>
      <c r="E71" s="19" t="s">
        <v>54</v>
      </c>
      <c r="F71" s="20"/>
      <c r="G71" s="19" t="s">
        <v>285</v>
      </c>
      <c r="H71" s="21" t="str">
        <f aca="true">IF(F71="","",F71-TODAY())</f>
        <v/>
      </c>
      <c r="I71" s="23" t="s">
        <v>7</v>
      </c>
      <c r="J71" s="18" t="s">
        <v>6</v>
      </c>
      <c r="K71" s="19" t="s">
        <v>151</v>
      </c>
      <c r="L71" s="19" t="s">
        <v>286</v>
      </c>
      <c r="M71" s="19" t="s">
        <v>287</v>
      </c>
    </row>
    <row r="72" customFormat="false" ht="15" hidden="false" customHeight="false" outlineLevel="0" collapsed="false">
      <c r="A72" s="18" t="n">
        <v>71</v>
      </c>
      <c r="B72" s="19" t="s">
        <v>277</v>
      </c>
      <c r="C72" s="19" t="s">
        <v>288</v>
      </c>
      <c r="D72" s="19" t="s">
        <v>289</v>
      </c>
      <c r="E72" s="19" t="s">
        <v>42</v>
      </c>
      <c r="F72" s="20"/>
      <c r="G72" s="19" t="s">
        <v>55</v>
      </c>
      <c r="H72" s="21" t="str">
        <f aca="true">IF(F72="","",F72-TODAY())</f>
        <v/>
      </c>
      <c r="I72" s="22" t="s">
        <v>11</v>
      </c>
      <c r="J72" s="18" t="s">
        <v>6</v>
      </c>
      <c r="K72" s="19" t="s">
        <v>234</v>
      </c>
      <c r="L72" s="19"/>
      <c r="M72" s="19" t="s">
        <v>290</v>
      </c>
    </row>
    <row r="73" customFormat="false" ht="15" hidden="false" customHeight="false" outlineLevel="0" collapsed="false">
      <c r="A73" s="18" t="n">
        <v>72</v>
      </c>
      <c r="B73" s="19" t="s">
        <v>277</v>
      </c>
      <c r="C73" s="19" t="s">
        <v>291</v>
      </c>
      <c r="D73" s="19" t="s">
        <v>292</v>
      </c>
      <c r="E73" s="19" t="s">
        <v>54</v>
      </c>
      <c r="F73" s="20"/>
      <c r="G73" s="19" t="s">
        <v>55</v>
      </c>
      <c r="H73" s="21" t="str">
        <f aca="true">IF(F73="","",F73-TODAY())</f>
        <v/>
      </c>
      <c r="I73" s="22" t="s">
        <v>11</v>
      </c>
      <c r="J73" s="18" t="s">
        <v>6</v>
      </c>
      <c r="K73" s="19" t="s">
        <v>293</v>
      </c>
      <c r="L73" s="19"/>
      <c r="M73" s="19" t="s">
        <v>294</v>
      </c>
    </row>
    <row r="74" customFormat="false" ht="23.85" hidden="false" customHeight="false" outlineLevel="0" collapsed="false">
      <c r="A74" s="18" t="n">
        <v>73</v>
      </c>
      <c r="B74" s="19" t="s">
        <v>277</v>
      </c>
      <c r="C74" s="19" t="s">
        <v>295</v>
      </c>
      <c r="D74" s="19" t="s">
        <v>296</v>
      </c>
      <c r="E74" s="19" t="s">
        <v>54</v>
      </c>
      <c r="F74" s="20"/>
      <c r="G74" s="19" t="s">
        <v>55</v>
      </c>
      <c r="H74" s="21" t="str">
        <f aca="true">IF(F74="","",F74-TODAY())</f>
        <v/>
      </c>
      <c r="I74" s="22" t="s">
        <v>11</v>
      </c>
      <c r="J74" s="18" t="s">
        <v>6</v>
      </c>
      <c r="K74" s="19" t="s">
        <v>297</v>
      </c>
      <c r="L74" s="19"/>
      <c r="M74" s="19" t="s">
        <v>298</v>
      </c>
    </row>
    <row r="75" customFormat="false" ht="15" hidden="false" customHeight="false" outlineLevel="0" collapsed="false">
      <c r="A75" s="18" t="n">
        <v>74</v>
      </c>
      <c r="B75" s="19" t="s">
        <v>277</v>
      </c>
      <c r="C75" s="19" t="s">
        <v>299</v>
      </c>
      <c r="D75" s="19" t="s">
        <v>300</v>
      </c>
      <c r="E75" s="19" t="s">
        <v>100</v>
      </c>
      <c r="F75" s="20"/>
      <c r="G75" s="19" t="s">
        <v>301</v>
      </c>
      <c r="H75" s="21" t="str">
        <f aca="true">IF(F75="","",F75-TODAY())</f>
        <v/>
      </c>
      <c r="I75" s="22" t="s">
        <v>11</v>
      </c>
      <c r="J75" s="18" t="s">
        <v>6</v>
      </c>
      <c r="K75" s="19" t="s">
        <v>302</v>
      </c>
      <c r="L75" s="19"/>
      <c r="M75" s="19" t="s">
        <v>303</v>
      </c>
    </row>
    <row r="76" customFormat="false" ht="15" hidden="false" customHeight="false" outlineLevel="0" collapsed="false">
      <c r="A76" s="18" t="n">
        <v>75</v>
      </c>
      <c r="B76" s="19" t="s">
        <v>277</v>
      </c>
      <c r="C76" s="19" t="s">
        <v>304</v>
      </c>
      <c r="D76" s="19" t="s">
        <v>305</v>
      </c>
      <c r="E76" s="19" t="s">
        <v>54</v>
      </c>
      <c r="F76" s="20"/>
      <c r="G76" s="19" t="s">
        <v>55</v>
      </c>
      <c r="H76" s="21" t="str">
        <f aca="true">IF(F76="","",F76-TODAY())</f>
        <v/>
      </c>
      <c r="I76" s="23" t="s">
        <v>7</v>
      </c>
      <c r="J76" s="18" t="s">
        <v>8</v>
      </c>
      <c r="K76" s="19" t="s">
        <v>151</v>
      </c>
      <c r="L76" s="19"/>
      <c r="M76" s="19" t="s">
        <v>306</v>
      </c>
    </row>
    <row r="77" customFormat="false" ht="15" hidden="false" customHeight="false" outlineLevel="0" collapsed="false">
      <c r="A77" s="18" t="n">
        <v>76</v>
      </c>
      <c r="B77" s="19" t="s">
        <v>277</v>
      </c>
      <c r="C77" s="19" t="s">
        <v>307</v>
      </c>
      <c r="D77" s="19" t="s">
        <v>308</v>
      </c>
      <c r="E77" s="19" t="s">
        <v>54</v>
      </c>
      <c r="F77" s="20"/>
      <c r="G77" s="19" t="s">
        <v>55</v>
      </c>
      <c r="H77" s="21" t="str">
        <f aca="true">IF(F77="","",F77-TODAY())</f>
        <v/>
      </c>
      <c r="I77" s="22" t="s">
        <v>11</v>
      </c>
      <c r="J77" s="18" t="s">
        <v>8</v>
      </c>
      <c r="K77" s="19" t="s">
        <v>234</v>
      </c>
      <c r="L77" s="19"/>
      <c r="M77" s="19"/>
    </row>
    <row r="78" customFormat="false" ht="15" hidden="false" customHeight="false" outlineLevel="0" collapsed="false">
      <c r="A78" s="18" t="n">
        <v>77</v>
      </c>
      <c r="B78" s="19" t="s">
        <v>277</v>
      </c>
      <c r="C78" s="19" t="s">
        <v>309</v>
      </c>
      <c r="D78" s="19" t="s">
        <v>310</v>
      </c>
      <c r="E78" s="19" t="s">
        <v>54</v>
      </c>
      <c r="F78" s="20"/>
      <c r="G78" s="19" t="s">
        <v>55</v>
      </c>
      <c r="H78" s="21" t="str">
        <f aca="true">IF(F78="","",F78-TODAY())</f>
        <v/>
      </c>
      <c r="I78" s="23" t="s">
        <v>7</v>
      </c>
      <c r="J78" s="18" t="s">
        <v>8</v>
      </c>
      <c r="K78" s="19" t="s">
        <v>151</v>
      </c>
      <c r="L78" s="19"/>
      <c r="M78" s="19" t="s">
        <v>311</v>
      </c>
    </row>
    <row r="79" customFormat="false" ht="15" hidden="false" customHeight="false" outlineLevel="0" collapsed="false">
      <c r="A79" s="18" t="n">
        <v>78</v>
      </c>
      <c r="B79" s="19" t="s">
        <v>277</v>
      </c>
      <c r="C79" s="19" t="s">
        <v>312</v>
      </c>
      <c r="D79" s="19" t="s">
        <v>313</v>
      </c>
      <c r="E79" s="19" t="s">
        <v>54</v>
      </c>
      <c r="F79" s="20"/>
      <c r="G79" s="19" t="s">
        <v>314</v>
      </c>
      <c r="H79" s="21" t="str">
        <f aca="true">IF(F79="","",F79-TODAY())</f>
        <v/>
      </c>
      <c r="I79" s="23" t="s">
        <v>7</v>
      </c>
      <c r="J79" s="18" t="s">
        <v>8</v>
      </c>
      <c r="K79" s="19" t="s">
        <v>151</v>
      </c>
      <c r="L79" s="19"/>
      <c r="M79" s="19"/>
    </row>
    <row r="80" customFormat="false" ht="15" hidden="false" customHeight="false" outlineLevel="0" collapsed="false">
      <c r="A80" s="18" t="n">
        <v>79</v>
      </c>
      <c r="B80" s="19" t="s">
        <v>277</v>
      </c>
      <c r="C80" s="19" t="s">
        <v>312</v>
      </c>
      <c r="D80" s="19" t="s">
        <v>315</v>
      </c>
      <c r="E80" s="19" t="s">
        <v>54</v>
      </c>
      <c r="F80" s="20"/>
      <c r="G80" s="19" t="s">
        <v>314</v>
      </c>
      <c r="H80" s="21" t="str">
        <f aca="true">IF(F80="","",F80-TODAY())</f>
        <v/>
      </c>
      <c r="I80" s="23" t="s">
        <v>7</v>
      </c>
      <c r="J80" s="18" t="s">
        <v>8</v>
      </c>
      <c r="K80" s="19" t="s">
        <v>151</v>
      </c>
      <c r="L80" s="19"/>
      <c r="M80" s="19" t="s">
        <v>316</v>
      </c>
    </row>
    <row r="81" customFormat="false" ht="15" hidden="false" customHeight="false" outlineLevel="0" collapsed="false">
      <c r="A81" s="18" t="n">
        <v>80</v>
      </c>
      <c r="B81" s="19" t="s">
        <v>277</v>
      </c>
      <c r="C81" s="19" t="s">
        <v>317</v>
      </c>
      <c r="D81" s="19" t="s">
        <v>318</v>
      </c>
      <c r="E81" s="19" t="s">
        <v>54</v>
      </c>
      <c r="F81" s="20"/>
      <c r="G81" s="19" t="s">
        <v>55</v>
      </c>
      <c r="H81" s="21" t="str">
        <f aca="true">IF(F81="","",F81-TODAY())</f>
        <v/>
      </c>
      <c r="I81" s="23" t="s">
        <v>7</v>
      </c>
      <c r="J81" s="18" t="s">
        <v>8</v>
      </c>
      <c r="K81" s="19" t="s">
        <v>151</v>
      </c>
      <c r="L81" s="19"/>
      <c r="M81" s="19"/>
    </row>
    <row r="82" customFormat="false" ht="15" hidden="false" customHeight="false" outlineLevel="0" collapsed="false">
      <c r="A82" s="18" t="n">
        <v>81</v>
      </c>
      <c r="B82" s="19" t="s">
        <v>277</v>
      </c>
      <c r="C82" s="19" t="s">
        <v>317</v>
      </c>
      <c r="D82" s="19" t="s">
        <v>319</v>
      </c>
      <c r="E82" s="19" t="s">
        <v>54</v>
      </c>
      <c r="F82" s="20"/>
      <c r="G82" s="19" t="s">
        <v>55</v>
      </c>
      <c r="H82" s="21" t="str">
        <f aca="true">IF(F82="","",F82-TODAY())</f>
        <v/>
      </c>
      <c r="I82" s="22" t="s">
        <v>11</v>
      </c>
      <c r="J82" s="18" t="s">
        <v>10</v>
      </c>
      <c r="K82" s="19" t="s">
        <v>320</v>
      </c>
      <c r="L82" s="19"/>
      <c r="M82" s="19" t="s">
        <v>321</v>
      </c>
    </row>
    <row r="83" customFormat="false" ht="15" hidden="false" customHeight="false" outlineLevel="0" collapsed="false">
      <c r="A83" s="18" t="n">
        <v>82</v>
      </c>
      <c r="B83" s="19" t="s">
        <v>277</v>
      </c>
      <c r="C83" s="19" t="s">
        <v>322</v>
      </c>
      <c r="D83" s="19" t="s">
        <v>323</v>
      </c>
      <c r="E83" s="19" t="s">
        <v>54</v>
      </c>
      <c r="F83" s="20"/>
      <c r="G83" s="19" t="s">
        <v>55</v>
      </c>
      <c r="H83" s="21" t="str">
        <f aca="true">IF(F83="","",F83-TODAY())</f>
        <v/>
      </c>
      <c r="I83" s="23" t="s">
        <v>7</v>
      </c>
      <c r="J83" s="18" t="s">
        <v>8</v>
      </c>
      <c r="K83" s="19" t="s">
        <v>151</v>
      </c>
      <c r="L83" s="19"/>
      <c r="M83" s="19"/>
    </row>
    <row r="84" customFormat="false" ht="15" hidden="false" customHeight="false" outlineLevel="0" collapsed="false">
      <c r="A84" s="18" t="n">
        <v>83</v>
      </c>
      <c r="B84" s="19" t="s">
        <v>277</v>
      </c>
      <c r="C84" s="19" t="s">
        <v>324</v>
      </c>
      <c r="D84" s="19" t="s">
        <v>325</v>
      </c>
      <c r="E84" s="19" t="s">
        <v>54</v>
      </c>
      <c r="F84" s="20"/>
      <c r="G84" s="19" t="s">
        <v>55</v>
      </c>
      <c r="H84" s="21" t="str">
        <f aca="true">IF(F84="","",F84-TODAY())</f>
        <v/>
      </c>
      <c r="I84" s="23" t="s">
        <v>7</v>
      </c>
      <c r="J84" s="18" t="s">
        <v>8</v>
      </c>
      <c r="K84" s="19" t="s">
        <v>151</v>
      </c>
      <c r="L84" s="19"/>
      <c r="M84" s="19" t="s">
        <v>326</v>
      </c>
    </row>
    <row r="85" customFormat="false" ht="15" hidden="false" customHeight="false" outlineLevel="0" collapsed="false">
      <c r="A85" s="18" t="n">
        <v>84</v>
      </c>
      <c r="B85" s="19" t="s">
        <v>277</v>
      </c>
      <c r="C85" s="19" t="s">
        <v>324</v>
      </c>
      <c r="D85" s="19" t="s">
        <v>327</v>
      </c>
      <c r="E85" s="19" t="s">
        <v>54</v>
      </c>
      <c r="F85" s="20"/>
      <c r="G85" s="19" t="s">
        <v>55</v>
      </c>
      <c r="H85" s="21" t="str">
        <f aca="true">IF(F85="","",F85-TODAY())</f>
        <v/>
      </c>
      <c r="I85" s="22" t="s">
        <v>11</v>
      </c>
      <c r="J85" s="18" t="s">
        <v>8</v>
      </c>
      <c r="K85" s="19" t="s">
        <v>234</v>
      </c>
      <c r="L85" s="19"/>
      <c r="M85" s="19"/>
    </row>
    <row r="86" customFormat="false" ht="15" hidden="false" customHeight="false" outlineLevel="0" collapsed="false">
      <c r="A86" s="18" t="n">
        <v>85</v>
      </c>
      <c r="B86" s="19" t="s">
        <v>277</v>
      </c>
      <c r="C86" s="19" t="s">
        <v>328</v>
      </c>
      <c r="D86" s="19" t="s">
        <v>329</v>
      </c>
      <c r="E86" s="19" t="s">
        <v>54</v>
      </c>
      <c r="F86" s="20"/>
      <c r="G86" s="19" t="s">
        <v>330</v>
      </c>
      <c r="H86" s="21" t="str">
        <f aca="true">IF(F86="","",F86-TODAY())</f>
        <v/>
      </c>
      <c r="I86" s="22" t="s">
        <v>11</v>
      </c>
      <c r="J86" s="18" t="s">
        <v>8</v>
      </c>
      <c r="K86" s="19" t="s">
        <v>331</v>
      </c>
      <c r="L86" s="19"/>
      <c r="M86" s="19"/>
    </row>
    <row r="87" customFormat="false" ht="15" hidden="false" customHeight="false" outlineLevel="0" collapsed="false">
      <c r="A87" s="18" t="n">
        <v>86</v>
      </c>
      <c r="B87" s="19" t="s">
        <v>277</v>
      </c>
      <c r="C87" s="19" t="s">
        <v>332</v>
      </c>
      <c r="D87" s="19" t="s">
        <v>333</v>
      </c>
      <c r="E87" s="19" t="s">
        <v>54</v>
      </c>
      <c r="F87" s="20"/>
      <c r="G87" s="19" t="s">
        <v>55</v>
      </c>
      <c r="H87" s="21" t="str">
        <f aca="true">IF(F87="","",F87-TODAY())</f>
        <v/>
      </c>
      <c r="I87" s="22" t="s">
        <v>11</v>
      </c>
      <c r="J87" s="18" t="s">
        <v>8</v>
      </c>
      <c r="K87" s="19" t="s">
        <v>234</v>
      </c>
      <c r="L87" s="19"/>
      <c r="M87" s="19"/>
    </row>
    <row r="88" customFormat="false" ht="15" hidden="false" customHeight="false" outlineLevel="0" collapsed="false">
      <c r="A88" s="18" t="n">
        <v>87</v>
      </c>
      <c r="B88" s="19" t="s">
        <v>277</v>
      </c>
      <c r="C88" s="19" t="s">
        <v>334</v>
      </c>
      <c r="D88" s="19" t="s">
        <v>335</v>
      </c>
      <c r="E88" s="19" t="s">
        <v>54</v>
      </c>
      <c r="F88" s="20"/>
      <c r="G88" s="19" t="s">
        <v>55</v>
      </c>
      <c r="H88" s="21" t="str">
        <f aca="true">IF(F88="","",F88-TODAY())</f>
        <v/>
      </c>
      <c r="I88" s="22" t="s">
        <v>11</v>
      </c>
      <c r="J88" s="18" t="s">
        <v>10</v>
      </c>
      <c r="K88" s="19" t="s">
        <v>234</v>
      </c>
      <c r="L88" s="19"/>
      <c r="M88" s="19" t="s">
        <v>336</v>
      </c>
    </row>
    <row r="89" customFormat="false" ht="15" hidden="false" customHeight="false" outlineLevel="0" collapsed="false">
      <c r="A89" s="18" t="n">
        <v>88</v>
      </c>
      <c r="B89" s="19" t="s">
        <v>277</v>
      </c>
      <c r="C89" s="19" t="s">
        <v>337</v>
      </c>
      <c r="D89" s="19" t="s">
        <v>338</v>
      </c>
      <c r="E89" s="19" t="s">
        <v>54</v>
      </c>
      <c r="F89" s="20"/>
      <c r="G89" s="19" t="s">
        <v>55</v>
      </c>
      <c r="H89" s="21" t="str">
        <f aca="true">IF(F89="","",F89-TODAY())</f>
        <v/>
      </c>
      <c r="I89" s="22" t="s">
        <v>11</v>
      </c>
      <c r="J89" s="18" t="s">
        <v>8</v>
      </c>
      <c r="K89" s="19" t="s">
        <v>234</v>
      </c>
      <c r="L89" s="19"/>
      <c r="M89" s="19"/>
    </row>
    <row r="90" customFormat="false" ht="15" hidden="false" customHeight="false" outlineLevel="0" collapsed="false">
      <c r="A90" s="18" t="n">
        <v>89</v>
      </c>
      <c r="B90" s="19" t="s">
        <v>277</v>
      </c>
      <c r="C90" s="19" t="s">
        <v>339</v>
      </c>
      <c r="D90" s="19" t="s">
        <v>340</v>
      </c>
      <c r="E90" s="19" t="s">
        <v>54</v>
      </c>
      <c r="F90" s="20"/>
      <c r="G90" s="19" t="s">
        <v>55</v>
      </c>
      <c r="H90" s="21" t="str">
        <f aca="true">IF(F90="","",F90-TODAY())</f>
        <v/>
      </c>
      <c r="I90" s="22" t="s">
        <v>11</v>
      </c>
      <c r="J90" s="18" t="s">
        <v>10</v>
      </c>
      <c r="K90" s="19" t="s">
        <v>234</v>
      </c>
      <c r="L90" s="19"/>
      <c r="M90" s="19"/>
    </row>
    <row r="91" customFormat="false" ht="15" hidden="false" customHeight="false" outlineLevel="0" collapsed="false">
      <c r="A91" s="18" t="n">
        <v>90</v>
      </c>
      <c r="B91" s="19" t="s">
        <v>277</v>
      </c>
      <c r="C91" s="19" t="s">
        <v>341</v>
      </c>
      <c r="D91" s="19" t="s">
        <v>342</v>
      </c>
      <c r="E91" s="19" t="s">
        <v>54</v>
      </c>
      <c r="F91" s="20"/>
      <c r="G91" s="19" t="s">
        <v>343</v>
      </c>
      <c r="H91" s="21" t="str">
        <f aca="true">IF(F91="","",F91-TODAY())</f>
        <v/>
      </c>
      <c r="I91" s="22" t="s">
        <v>11</v>
      </c>
      <c r="J91" s="18" t="s">
        <v>8</v>
      </c>
      <c r="K91" s="19" t="s">
        <v>234</v>
      </c>
      <c r="L91" s="19"/>
      <c r="M91" s="19"/>
    </row>
    <row r="92" customFormat="false" ht="15" hidden="false" customHeight="false" outlineLevel="0" collapsed="false">
      <c r="A92" s="18" t="n">
        <v>91</v>
      </c>
      <c r="B92" s="19" t="s">
        <v>277</v>
      </c>
      <c r="C92" s="19" t="s">
        <v>344</v>
      </c>
      <c r="D92" s="19" t="s">
        <v>345</v>
      </c>
      <c r="E92" s="19" t="s">
        <v>54</v>
      </c>
      <c r="F92" s="20"/>
      <c r="G92" s="19" t="s">
        <v>55</v>
      </c>
      <c r="H92" s="21" t="str">
        <f aca="true">IF(F92="","",F92-TODAY())</f>
        <v/>
      </c>
      <c r="I92" s="22" t="s">
        <v>11</v>
      </c>
      <c r="J92" s="18" t="s">
        <v>10</v>
      </c>
      <c r="K92" s="19" t="s">
        <v>234</v>
      </c>
      <c r="L92" s="19"/>
      <c r="M92" s="19"/>
    </row>
    <row r="93" customFormat="false" ht="15" hidden="false" customHeight="false" outlineLevel="0" collapsed="false">
      <c r="A93" s="18" t="n">
        <v>92</v>
      </c>
      <c r="B93" s="19" t="s">
        <v>277</v>
      </c>
      <c r="C93" s="19" t="s">
        <v>346</v>
      </c>
      <c r="D93" s="19" t="s">
        <v>347</v>
      </c>
      <c r="E93" s="19" t="s">
        <v>54</v>
      </c>
      <c r="F93" s="20"/>
      <c r="G93" s="19" t="s">
        <v>55</v>
      </c>
      <c r="H93" s="21" t="str">
        <f aca="true">IF(F93="","",F93-TODAY())</f>
        <v/>
      </c>
      <c r="I93" s="22" t="s">
        <v>11</v>
      </c>
      <c r="J93" s="18" t="s">
        <v>10</v>
      </c>
      <c r="K93" s="19" t="s">
        <v>234</v>
      </c>
      <c r="L93" s="19"/>
      <c r="M93" s="19"/>
    </row>
    <row r="94" customFormat="false" ht="15" hidden="false" customHeight="false" outlineLevel="0" collapsed="false">
      <c r="A94" s="18" t="n">
        <v>93</v>
      </c>
      <c r="B94" s="19" t="s">
        <v>277</v>
      </c>
      <c r="C94" s="19" t="s">
        <v>348</v>
      </c>
      <c r="D94" s="19" t="s">
        <v>349</v>
      </c>
      <c r="E94" s="19" t="s">
        <v>54</v>
      </c>
      <c r="F94" s="20"/>
      <c r="G94" s="19" t="s">
        <v>55</v>
      </c>
      <c r="H94" s="21" t="str">
        <f aca="true">IF(F94="","",F94-TODAY())</f>
        <v/>
      </c>
      <c r="I94" s="22" t="s">
        <v>11</v>
      </c>
      <c r="J94" s="18" t="s">
        <v>10</v>
      </c>
      <c r="K94" s="19" t="s">
        <v>234</v>
      </c>
      <c r="L94" s="19"/>
      <c r="M94" s="19"/>
    </row>
    <row r="95" customFormat="false" ht="15" hidden="false" customHeight="false" outlineLevel="0" collapsed="false">
      <c r="A95" s="18" t="n">
        <v>94</v>
      </c>
      <c r="B95" s="19" t="s">
        <v>277</v>
      </c>
      <c r="C95" s="19" t="s">
        <v>350</v>
      </c>
      <c r="D95" s="19" t="s">
        <v>55</v>
      </c>
      <c r="E95" s="19" t="s">
        <v>54</v>
      </c>
      <c r="F95" s="20"/>
      <c r="G95" s="19" t="s">
        <v>55</v>
      </c>
      <c r="H95" s="21" t="str">
        <f aca="true">IF(F95="","",F95-TODAY())</f>
        <v/>
      </c>
      <c r="I95" s="22" t="s">
        <v>11</v>
      </c>
      <c r="J95" s="18" t="s">
        <v>10</v>
      </c>
      <c r="K95" s="19" t="s">
        <v>118</v>
      </c>
      <c r="L95" s="19"/>
      <c r="M95" s="19"/>
    </row>
    <row r="96" customFormat="false" ht="23.85" hidden="false" customHeight="false" outlineLevel="0" collapsed="false">
      <c r="A96" s="18" t="n">
        <v>95</v>
      </c>
      <c r="B96" s="19" t="s">
        <v>277</v>
      </c>
      <c r="C96" s="19" t="s">
        <v>351</v>
      </c>
      <c r="D96" s="19" t="s">
        <v>352</v>
      </c>
      <c r="E96" s="19" t="s">
        <v>54</v>
      </c>
      <c r="F96" s="20"/>
      <c r="G96" s="19" t="s">
        <v>55</v>
      </c>
      <c r="H96" s="21" t="str">
        <f aca="true">IF(F96="","",F96-TODAY())</f>
        <v/>
      </c>
      <c r="I96" s="27" t="s">
        <v>12</v>
      </c>
      <c r="J96" s="18" t="s">
        <v>10</v>
      </c>
      <c r="K96" s="19" t="s">
        <v>353</v>
      </c>
      <c r="L96" s="19"/>
      <c r="M96" s="19" t="s">
        <v>354</v>
      </c>
    </row>
    <row r="97" customFormat="false" ht="23.85" hidden="false" customHeight="false" outlineLevel="0" collapsed="false">
      <c r="A97" s="18" t="n">
        <v>96</v>
      </c>
      <c r="B97" s="19" t="s">
        <v>277</v>
      </c>
      <c r="C97" s="19" t="s">
        <v>55</v>
      </c>
      <c r="D97" s="19" t="s">
        <v>355</v>
      </c>
      <c r="E97" s="19" t="s">
        <v>54</v>
      </c>
      <c r="F97" s="20"/>
      <c r="G97" s="19" t="s">
        <v>55</v>
      </c>
      <c r="H97" s="21" t="str">
        <f aca="true">IF(F97="","",F97-TODAY())</f>
        <v/>
      </c>
      <c r="I97" s="27" t="s">
        <v>12</v>
      </c>
      <c r="J97" s="18" t="s">
        <v>10</v>
      </c>
      <c r="K97" s="19" t="s">
        <v>356</v>
      </c>
      <c r="L97" s="19"/>
      <c r="M97" s="19"/>
    </row>
    <row r="98" customFormat="false" ht="15" hidden="false" customHeight="false" outlineLevel="0" collapsed="false">
      <c r="A98" s="18" t="n">
        <v>97</v>
      </c>
      <c r="B98" s="19" t="s">
        <v>277</v>
      </c>
      <c r="C98" s="19" t="s">
        <v>357</v>
      </c>
      <c r="D98" s="19" t="s">
        <v>358</v>
      </c>
      <c r="E98" s="19" t="s">
        <v>359</v>
      </c>
      <c r="F98" s="20"/>
      <c r="G98" s="19" t="s">
        <v>55</v>
      </c>
      <c r="H98" s="21" t="str">
        <f aca="true">IF(F98="","",F98-TODAY())</f>
        <v/>
      </c>
      <c r="I98" s="28" t="s">
        <v>14</v>
      </c>
      <c r="J98" s="18" t="s">
        <v>10</v>
      </c>
      <c r="K98" s="19" t="s">
        <v>360</v>
      </c>
      <c r="L98" s="19" t="s">
        <v>361</v>
      </c>
      <c r="M98" s="19"/>
    </row>
    <row r="99" customFormat="false" ht="15" hidden="false" customHeight="false" outlineLevel="0" collapsed="false">
      <c r="A99" s="18" t="n">
        <v>98</v>
      </c>
      <c r="B99" s="19" t="s">
        <v>362</v>
      </c>
      <c r="C99" s="19" t="s">
        <v>363</v>
      </c>
      <c r="D99" s="19" t="s">
        <v>364</v>
      </c>
      <c r="E99" s="19" t="s">
        <v>54</v>
      </c>
      <c r="F99" s="20"/>
      <c r="G99" s="19" t="s">
        <v>55</v>
      </c>
      <c r="H99" s="21" t="str">
        <f aca="true">IF(F99="","",F99-TODAY())</f>
        <v/>
      </c>
      <c r="I99" s="23" t="s">
        <v>7</v>
      </c>
      <c r="J99" s="18" t="s">
        <v>8</v>
      </c>
      <c r="K99" s="19" t="s">
        <v>151</v>
      </c>
      <c r="L99" s="19"/>
      <c r="M99" s="19" t="s">
        <v>365</v>
      </c>
    </row>
    <row r="100" customFormat="false" ht="15" hidden="false" customHeight="false" outlineLevel="0" collapsed="false">
      <c r="A100" s="18" t="n">
        <v>99</v>
      </c>
      <c r="B100" s="19" t="s">
        <v>362</v>
      </c>
      <c r="C100" s="19" t="s">
        <v>366</v>
      </c>
      <c r="D100" s="19" t="s">
        <v>367</v>
      </c>
      <c r="E100" s="19" t="s">
        <v>54</v>
      </c>
      <c r="F100" s="20"/>
      <c r="G100" s="19" t="s">
        <v>55</v>
      </c>
      <c r="H100" s="21" t="str">
        <f aca="true">IF(F100="","",F100-TODAY())</f>
        <v/>
      </c>
      <c r="I100" s="23" t="s">
        <v>7</v>
      </c>
      <c r="J100" s="18" t="s">
        <v>8</v>
      </c>
      <c r="K100" s="19" t="s">
        <v>151</v>
      </c>
      <c r="L100" s="19"/>
      <c r="M100" s="19"/>
    </row>
    <row r="101" customFormat="false" ht="15" hidden="false" customHeight="false" outlineLevel="0" collapsed="false">
      <c r="A101" s="18" t="n">
        <v>100</v>
      </c>
      <c r="B101" s="19" t="s">
        <v>362</v>
      </c>
      <c r="C101" s="19" t="s">
        <v>368</v>
      </c>
      <c r="D101" s="19" t="s">
        <v>369</v>
      </c>
      <c r="E101" s="19" t="s">
        <v>54</v>
      </c>
      <c r="F101" s="20"/>
      <c r="G101" s="19" t="s">
        <v>55</v>
      </c>
      <c r="H101" s="21" t="str">
        <f aca="true">IF(F101="","",F101-TODAY())</f>
        <v/>
      </c>
      <c r="I101" s="22" t="s">
        <v>11</v>
      </c>
      <c r="J101" s="18" t="s">
        <v>8</v>
      </c>
      <c r="K101" s="19" t="s">
        <v>234</v>
      </c>
      <c r="L101" s="19"/>
      <c r="M101" s="19"/>
    </row>
    <row r="102" customFormat="false" ht="15" hidden="false" customHeight="false" outlineLevel="0" collapsed="false">
      <c r="A102" s="18" t="n">
        <v>101</v>
      </c>
      <c r="B102" s="19" t="s">
        <v>362</v>
      </c>
      <c r="C102" s="19" t="s">
        <v>370</v>
      </c>
      <c r="D102" s="19" t="s">
        <v>371</v>
      </c>
      <c r="E102" s="19" t="s">
        <v>42</v>
      </c>
      <c r="F102" s="20"/>
      <c r="G102" s="19" t="s">
        <v>372</v>
      </c>
      <c r="H102" s="21" t="str">
        <f aca="true">IF(F102="","",F102-TODAY())</f>
        <v/>
      </c>
      <c r="I102" s="22" t="s">
        <v>11</v>
      </c>
      <c r="J102" s="18" t="s">
        <v>10</v>
      </c>
      <c r="K102" s="19" t="s">
        <v>373</v>
      </c>
      <c r="L102" s="19" t="s">
        <v>374</v>
      </c>
      <c r="M102" s="19" t="s">
        <v>375</v>
      </c>
    </row>
    <row r="103" customFormat="false" ht="15" hidden="false" customHeight="false" outlineLevel="0" collapsed="false">
      <c r="A103" s="18" t="n">
        <v>102</v>
      </c>
      <c r="B103" s="19" t="s">
        <v>376</v>
      </c>
      <c r="C103" s="19" t="s">
        <v>377</v>
      </c>
      <c r="D103" s="19" t="s">
        <v>378</v>
      </c>
      <c r="E103" s="19" t="s">
        <v>54</v>
      </c>
      <c r="F103" s="20"/>
      <c r="G103" s="19" t="s">
        <v>55</v>
      </c>
      <c r="H103" s="21" t="str">
        <f aca="true">IF(F103="","",F103-TODAY())</f>
        <v/>
      </c>
      <c r="I103" s="23" t="s">
        <v>7</v>
      </c>
      <c r="J103" s="18" t="s">
        <v>8</v>
      </c>
      <c r="K103" s="19" t="s">
        <v>151</v>
      </c>
      <c r="L103" s="19"/>
      <c r="M103" s="19" t="s">
        <v>379</v>
      </c>
    </row>
    <row r="104" customFormat="false" ht="15" hidden="false" customHeight="false" outlineLevel="0" collapsed="false">
      <c r="A104" s="18" t="n">
        <v>103</v>
      </c>
      <c r="B104" s="19" t="s">
        <v>376</v>
      </c>
      <c r="C104" s="19" t="s">
        <v>380</v>
      </c>
      <c r="D104" s="19" t="s">
        <v>55</v>
      </c>
      <c r="E104" s="19" t="s">
        <v>54</v>
      </c>
      <c r="F104" s="20"/>
      <c r="G104" s="19" t="s">
        <v>55</v>
      </c>
      <c r="H104" s="21" t="str">
        <f aca="true">IF(F104="","",F104-TODAY())</f>
        <v/>
      </c>
      <c r="I104" s="22" t="s">
        <v>11</v>
      </c>
      <c r="J104" s="18" t="s">
        <v>8</v>
      </c>
      <c r="K104" s="19" t="s">
        <v>234</v>
      </c>
      <c r="L104" s="19"/>
      <c r="M104" s="19"/>
    </row>
    <row r="105" customFormat="false" ht="23.85" hidden="false" customHeight="false" outlineLevel="0" collapsed="false">
      <c r="A105" s="18" t="n">
        <v>104</v>
      </c>
      <c r="B105" s="19" t="s">
        <v>376</v>
      </c>
      <c r="C105" s="19" t="s">
        <v>381</v>
      </c>
      <c r="D105" s="19" t="s">
        <v>382</v>
      </c>
      <c r="E105" s="19" t="s">
        <v>42</v>
      </c>
      <c r="F105" s="20"/>
      <c r="G105" s="19" t="s">
        <v>55</v>
      </c>
      <c r="H105" s="21" t="str">
        <f aca="true">IF(F105="","",F105-TODAY())</f>
        <v/>
      </c>
      <c r="I105" s="22" t="s">
        <v>11</v>
      </c>
      <c r="J105" s="18" t="s">
        <v>8</v>
      </c>
      <c r="K105" s="19" t="s">
        <v>383</v>
      </c>
      <c r="L105" s="19"/>
      <c r="M105" s="19" t="s">
        <v>384</v>
      </c>
    </row>
    <row r="106" customFormat="false" ht="23.85" hidden="false" customHeight="false" outlineLevel="0" collapsed="false">
      <c r="A106" s="18" t="n">
        <v>105</v>
      </c>
      <c r="B106" s="19" t="s">
        <v>385</v>
      </c>
      <c r="C106" s="19" t="s">
        <v>386</v>
      </c>
      <c r="D106" s="19" t="s">
        <v>387</v>
      </c>
      <c r="E106" s="19" t="s">
        <v>54</v>
      </c>
      <c r="F106" s="20"/>
      <c r="G106" s="19" t="s">
        <v>55</v>
      </c>
      <c r="H106" s="21" t="str">
        <f aca="true">IF(F106="","",F106-TODAY())</f>
        <v/>
      </c>
      <c r="I106" s="22" t="s">
        <v>11</v>
      </c>
      <c r="J106" s="18" t="s">
        <v>8</v>
      </c>
      <c r="K106" s="19" t="s">
        <v>234</v>
      </c>
      <c r="L106" s="19"/>
      <c r="M106" s="19" t="s">
        <v>388</v>
      </c>
    </row>
    <row r="107" customFormat="false" ht="15" hidden="false" customHeight="false" outlineLevel="0" collapsed="false">
      <c r="A107" s="18" t="n">
        <v>106</v>
      </c>
      <c r="B107" s="19" t="s">
        <v>385</v>
      </c>
      <c r="C107" s="19" t="s">
        <v>389</v>
      </c>
      <c r="D107" s="19" t="s">
        <v>390</v>
      </c>
      <c r="E107" s="19" t="s">
        <v>54</v>
      </c>
      <c r="F107" s="20"/>
      <c r="G107" s="19" t="s">
        <v>55</v>
      </c>
      <c r="H107" s="21" t="str">
        <f aca="true">IF(F107="","",F107-TODAY())</f>
        <v/>
      </c>
      <c r="I107" s="22" t="s">
        <v>11</v>
      </c>
      <c r="J107" s="18" t="s">
        <v>8</v>
      </c>
      <c r="K107" s="19" t="s">
        <v>391</v>
      </c>
      <c r="L107" s="19"/>
      <c r="M107" s="19"/>
    </row>
    <row r="108" customFormat="false" ht="23.85" hidden="false" customHeight="false" outlineLevel="0" collapsed="false">
      <c r="A108" s="18" t="n">
        <v>107</v>
      </c>
      <c r="B108" s="19" t="s">
        <v>392</v>
      </c>
      <c r="C108" s="19" t="s">
        <v>393</v>
      </c>
      <c r="D108" s="19" t="s">
        <v>394</v>
      </c>
      <c r="E108" s="19" t="s">
        <v>42</v>
      </c>
      <c r="F108" s="20"/>
      <c r="G108" s="19" t="s">
        <v>55</v>
      </c>
      <c r="H108" s="21" t="str">
        <f aca="true">IF(F108="","",F108-TODAY())</f>
        <v/>
      </c>
      <c r="I108" s="25" t="s">
        <v>5</v>
      </c>
      <c r="J108" s="18" t="s">
        <v>8</v>
      </c>
      <c r="K108" s="19" t="s">
        <v>72</v>
      </c>
      <c r="L108" s="19"/>
      <c r="M108" s="19" t="s">
        <v>395</v>
      </c>
    </row>
    <row r="109" customFormat="false" ht="15" hidden="false" customHeight="false" outlineLevel="0" collapsed="false">
      <c r="A109" s="18" t="n">
        <v>108</v>
      </c>
      <c r="B109" s="19" t="s">
        <v>392</v>
      </c>
      <c r="C109" s="19" t="s">
        <v>396</v>
      </c>
      <c r="D109" s="19" t="s">
        <v>397</v>
      </c>
      <c r="E109" s="19" t="s">
        <v>42</v>
      </c>
      <c r="F109" s="20"/>
      <c r="G109" s="19" t="s">
        <v>55</v>
      </c>
      <c r="H109" s="21" t="str">
        <f aca="true">IF(F109="","",F109-TODAY())</f>
        <v/>
      </c>
      <c r="I109" s="25" t="s">
        <v>5</v>
      </c>
      <c r="J109" s="18" t="s">
        <v>8</v>
      </c>
      <c r="K109" s="19" t="s">
        <v>72</v>
      </c>
      <c r="L109" s="19"/>
      <c r="M109" s="19" t="s">
        <v>398</v>
      </c>
    </row>
    <row r="110" customFormat="false" ht="15" hidden="false" customHeight="false" outlineLevel="0" collapsed="false">
      <c r="A110" s="18" t="n">
        <v>109</v>
      </c>
      <c r="B110" s="19" t="s">
        <v>399</v>
      </c>
      <c r="C110" s="19" t="s">
        <v>400</v>
      </c>
      <c r="D110" s="19" t="s">
        <v>401</v>
      </c>
      <c r="E110" s="19" t="s">
        <v>54</v>
      </c>
      <c r="F110" s="20"/>
      <c r="G110" s="19" t="s">
        <v>55</v>
      </c>
      <c r="H110" s="21" t="str">
        <f aca="true">IF(F110="","",F110-TODAY())</f>
        <v/>
      </c>
      <c r="I110" s="23" t="s">
        <v>7</v>
      </c>
      <c r="J110" s="18" t="s">
        <v>8</v>
      </c>
      <c r="K110" s="19" t="s">
        <v>151</v>
      </c>
      <c r="L110" s="19"/>
      <c r="M110" s="19" t="s">
        <v>402</v>
      </c>
    </row>
    <row r="111" customFormat="false" ht="15" hidden="false" customHeight="false" outlineLevel="0" collapsed="false">
      <c r="A111" s="18" t="n">
        <v>110</v>
      </c>
      <c r="B111" s="19" t="s">
        <v>403</v>
      </c>
      <c r="C111" s="19" t="s">
        <v>404</v>
      </c>
      <c r="D111" s="19" t="s">
        <v>405</v>
      </c>
      <c r="E111" s="19" t="s">
        <v>54</v>
      </c>
      <c r="F111" s="20"/>
      <c r="G111" s="19" t="s">
        <v>55</v>
      </c>
      <c r="H111" s="21" t="str">
        <f aca="true">IF(F111="","",F111-TODAY())</f>
        <v/>
      </c>
      <c r="I111" s="25" t="s">
        <v>5</v>
      </c>
      <c r="J111" s="18" t="s">
        <v>8</v>
      </c>
      <c r="K111" s="19" t="s">
        <v>72</v>
      </c>
      <c r="L111" s="19"/>
      <c r="M111" s="19" t="s">
        <v>365</v>
      </c>
    </row>
    <row r="112" customFormat="false" ht="15" hidden="false" customHeight="false" outlineLevel="0" collapsed="false">
      <c r="A112" s="18" t="n">
        <v>111</v>
      </c>
      <c r="B112" s="19" t="s">
        <v>406</v>
      </c>
      <c r="C112" s="19" t="s">
        <v>407</v>
      </c>
      <c r="D112" s="19" t="s">
        <v>408</v>
      </c>
      <c r="E112" s="19" t="s">
        <v>359</v>
      </c>
      <c r="F112" s="20"/>
      <c r="G112" s="19" t="s">
        <v>409</v>
      </c>
      <c r="H112" s="21" t="str">
        <f aca="true">IF(F112="","",F112-TODAY())</f>
        <v/>
      </c>
      <c r="I112" s="28" t="s">
        <v>14</v>
      </c>
      <c r="J112" s="18" t="s">
        <v>8</v>
      </c>
      <c r="K112" s="19" t="s">
        <v>410</v>
      </c>
      <c r="L112" s="19"/>
      <c r="M112" s="19"/>
    </row>
    <row r="113" customFormat="false" ht="23.85" hidden="false" customHeight="false" outlineLevel="0" collapsed="false">
      <c r="A113" s="18" t="n">
        <v>112</v>
      </c>
      <c r="B113" s="19" t="s">
        <v>406</v>
      </c>
      <c r="C113" s="19" t="s">
        <v>407</v>
      </c>
      <c r="D113" s="19" t="s">
        <v>411</v>
      </c>
      <c r="E113" s="19" t="s">
        <v>42</v>
      </c>
      <c r="F113" s="20"/>
      <c r="G113" s="19" t="s">
        <v>55</v>
      </c>
      <c r="H113" s="21" t="str">
        <f aca="true">IF(F113="","",F113-TODAY())</f>
        <v/>
      </c>
      <c r="I113" s="27" t="s">
        <v>12</v>
      </c>
      <c r="J113" s="18" t="s">
        <v>10</v>
      </c>
      <c r="K113" s="19" t="s">
        <v>412</v>
      </c>
      <c r="L113" s="19"/>
      <c r="M113" s="19" t="s">
        <v>413</v>
      </c>
    </row>
    <row r="114" customFormat="false" ht="15" hidden="false" customHeight="false" outlineLevel="0" collapsed="false">
      <c r="A114" s="18" t="n">
        <v>113</v>
      </c>
      <c r="B114" s="19" t="s">
        <v>414</v>
      </c>
      <c r="C114" s="19" t="s">
        <v>415</v>
      </c>
      <c r="D114" s="19" t="s">
        <v>416</v>
      </c>
      <c r="E114" s="19" t="s">
        <v>54</v>
      </c>
      <c r="F114" s="20"/>
      <c r="G114" s="19" t="s">
        <v>55</v>
      </c>
      <c r="H114" s="21" t="str">
        <f aca="true">IF(F114="","",F114-TODAY())</f>
        <v/>
      </c>
      <c r="I114" s="22" t="s">
        <v>11</v>
      </c>
      <c r="J114" s="18" t="s">
        <v>6</v>
      </c>
      <c r="K114" s="19" t="s">
        <v>417</v>
      </c>
      <c r="L114" s="19" t="s">
        <v>418</v>
      </c>
      <c r="M114" s="19" t="s">
        <v>419</v>
      </c>
    </row>
    <row r="115" customFormat="false" ht="15" hidden="false" customHeight="false" outlineLevel="0" collapsed="false">
      <c r="A115" s="18" t="n">
        <v>114</v>
      </c>
      <c r="B115" s="19" t="s">
        <v>414</v>
      </c>
      <c r="C115" s="19" t="s">
        <v>420</v>
      </c>
      <c r="D115" s="19" t="s">
        <v>421</v>
      </c>
      <c r="E115" s="19" t="s">
        <v>359</v>
      </c>
      <c r="F115" s="20"/>
      <c r="G115" s="19" t="s">
        <v>422</v>
      </c>
      <c r="H115" s="21" t="str">
        <f aca="true">IF(F115="","",F115-TODAY())</f>
        <v/>
      </c>
      <c r="I115" s="28" t="s">
        <v>14</v>
      </c>
      <c r="J115" s="18" t="s">
        <v>8</v>
      </c>
      <c r="K115" s="19" t="s">
        <v>423</v>
      </c>
      <c r="L115" s="19"/>
      <c r="M115" s="19"/>
    </row>
    <row r="116" customFormat="false" ht="15" hidden="false" customHeight="false" outlineLevel="0" collapsed="false">
      <c r="A116" s="18" t="n">
        <v>115</v>
      </c>
      <c r="B116" s="19" t="s">
        <v>414</v>
      </c>
      <c r="C116" s="19" t="s">
        <v>424</v>
      </c>
      <c r="D116" s="19" t="s">
        <v>425</v>
      </c>
      <c r="E116" s="19" t="s">
        <v>359</v>
      </c>
      <c r="F116" s="20"/>
      <c r="G116" s="19" t="s">
        <v>426</v>
      </c>
      <c r="H116" s="21" t="str">
        <f aca="true">IF(F116="","",F116-TODAY())</f>
        <v/>
      </c>
      <c r="I116" s="28" t="s">
        <v>14</v>
      </c>
      <c r="J116" s="18" t="s">
        <v>8</v>
      </c>
      <c r="K116" s="19" t="s">
        <v>427</v>
      </c>
      <c r="L116" s="19"/>
      <c r="M116" s="19" t="s">
        <v>428</v>
      </c>
    </row>
    <row r="117" customFormat="false" ht="15" hidden="false" customHeight="false" outlineLevel="0" collapsed="false">
      <c r="A117" s="18" t="n">
        <v>116</v>
      </c>
      <c r="B117" s="19" t="s">
        <v>429</v>
      </c>
      <c r="C117" s="19" t="s">
        <v>430</v>
      </c>
      <c r="D117" s="19" t="s">
        <v>431</v>
      </c>
      <c r="E117" s="19" t="s">
        <v>54</v>
      </c>
      <c r="F117" s="20"/>
      <c r="G117" s="19" t="s">
        <v>55</v>
      </c>
      <c r="H117" s="21" t="str">
        <f aca="true">IF(F117="","",F117-TODAY())</f>
        <v/>
      </c>
      <c r="I117" s="22" t="s">
        <v>11</v>
      </c>
      <c r="J117" s="18" t="s">
        <v>8</v>
      </c>
      <c r="K117" s="19" t="s">
        <v>234</v>
      </c>
      <c r="L117" s="19" t="s">
        <v>432</v>
      </c>
      <c r="M117" s="19"/>
    </row>
    <row r="118" customFormat="false" ht="15" hidden="false" customHeight="false" outlineLevel="0" collapsed="false">
      <c r="A118" s="18" t="n">
        <v>117</v>
      </c>
      <c r="B118" s="19" t="s">
        <v>433</v>
      </c>
      <c r="C118" s="19" t="s">
        <v>434</v>
      </c>
      <c r="D118" s="19" t="s">
        <v>435</v>
      </c>
      <c r="E118" s="19" t="s">
        <v>359</v>
      </c>
      <c r="F118" s="20"/>
      <c r="G118" s="19" t="s">
        <v>436</v>
      </c>
      <c r="H118" s="21" t="str">
        <f aca="true">IF(F118="","",F118-TODAY())</f>
        <v/>
      </c>
      <c r="I118" s="28" t="s">
        <v>14</v>
      </c>
      <c r="J118" s="18" t="s">
        <v>10</v>
      </c>
      <c r="K118" s="19" t="s">
        <v>437</v>
      </c>
      <c r="L118" s="19"/>
      <c r="M118" s="19"/>
    </row>
    <row r="119" customFormat="false" ht="15" hidden="false" customHeight="false" outlineLevel="0" collapsed="false">
      <c r="A119" s="18" t="n">
        <v>118</v>
      </c>
      <c r="B119" s="19" t="s">
        <v>438</v>
      </c>
      <c r="C119" s="19" t="s">
        <v>439</v>
      </c>
      <c r="D119" s="19" t="s">
        <v>55</v>
      </c>
      <c r="E119" s="19" t="s">
        <v>42</v>
      </c>
      <c r="F119" s="20" t="n">
        <v>46245</v>
      </c>
      <c r="G119" s="19" t="s">
        <v>440</v>
      </c>
      <c r="H119" s="21" t="n">
        <f aca="true">IF(F119="","",F119-TODAY())</f>
        <v>-57</v>
      </c>
      <c r="I119" s="24" t="s">
        <v>16</v>
      </c>
      <c r="J119" s="18" t="s">
        <v>10</v>
      </c>
      <c r="K119" s="19" t="s">
        <v>412</v>
      </c>
      <c r="L119" s="19"/>
      <c r="M119" s="19" t="s">
        <v>441</v>
      </c>
    </row>
    <row r="120" customFormat="false" ht="15" hidden="false" customHeight="false" outlineLevel="0" collapsed="false">
      <c r="A120" s="18" t="n">
        <v>119</v>
      </c>
      <c r="B120" s="19" t="s">
        <v>438</v>
      </c>
      <c r="C120" s="19" t="s">
        <v>442</v>
      </c>
      <c r="D120" s="19" t="s">
        <v>443</v>
      </c>
      <c r="E120" s="19" t="s">
        <v>54</v>
      </c>
      <c r="F120" s="20"/>
      <c r="G120" s="19" t="s">
        <v>444</v>
      </c>
      <c r="H120" s="21" t="str">
        <f aca="true">IF(F120="","",F120-TODAY())</f>
        <v/>
      </c>
      <c r="I120" s="27" t="s">
        <v>12</v>
      </c>
      <c r="J120" s="18" t="s">
        <v>10</v>
      </c>
      <c r="K120" s="19" t="s">
        <v>445</v>
      </c>
      <c r="L120" s="19" t="s">
        <v>446</v>
      </c>
      <c r="M120" s="19"/>
    </row>
    <row r="121" customFormat="false" ht="15" hidden="false" customHeight="false" outlineLevel="0" collapsed="false">
      <c r="A121" s="18" t="n">
        <v>120</v>
      </c>
      <c r="B121" s="19" t="s">
        <v>438</v>
      </c>
      <c r="C121" s="19" t="s">
        <v>447</v>
      </c>
      <c r="D121" s="19" t="s">
        <v>55</v>
      </c>
      <c r="E121" s="19" t="s">
        <v>54</v>
      </c>
      <c r="F121" s="20"/>
      <c r="G121" s="19" t="s">
        <v>55</v>
      </c>
      <c r="H121" s="21" t="str">
        <f aca="true">IF(F121="","",F121-TODAY())</f>
        <v/>
      </c>
      <c r="I121" s="22" t="s">
        <v>11</v>
      </c>
      <c r="J121" s="18" t="s">
        <v>10</v>
      </c>
      <c r="K121" s="19" t="s">
        <v>118</v>
      </c>
      <c r="L121" s="19"/>
      <c r="M121" s="19" t="s">
        <v>448</v>
      </c>
    </row>
    <row r="122" customFormat="false" ht="23.85" hidden="false" customHeight="false" outlineLevel="0" collapsed="false">
      <c r="A122" s="18" t="n">
        <v>121</v>
      </c>
      <c r="B122" s="19" t="s">
        <v>438</v>
      </c>
      <c r="C122" s="19" t="s">
        <v>449</v>
      </c>
      <c r="D122" s="19" t="s">
        <v>450</v>
      </c>
      <c r="E122" s="19" t="s">
        <v>42</v>
      </c>
      <c r="F122" s="20"/>
      <c r="G122" s="19" t="s">
        <v>55</v>
      </c>
      <c r="H122" s="21" t="str">
        <f aca="true">IF(F122="","",F122-TODAY())</f>
        <v/>
      </c>
      <c r="I122" s="22" t="s">
        <v>11</v>
      </c>
      <c r="J122" s="18" t="s">
        <v>10</v>
      </c>
      <c r="K122" s="19" t="s">
        <v>234</v>
      </c>
      <c r="L122" s="19"/>
      <c r="M122" s="19" t="s">
        <v>451</v>
      </c>
    </row>
    <row r="123" customFormat="false" ht="23.85" hidden="false" customHeight="false" outlineLevel="0" collapsed="false">
      <c r="A123" s="18" t="n">
        <v>122</v>
      </c>
      <c r="B123" s="19" t="s">
        <v>452</v>
      </c>
      <c r="C123" s="19" t="s">
        <v>453</v>
      </c>
      <c r="D123" s="19" t="s">
        <v>454</v>
      </c>
      <c r="E123" s="19" t="s">
        <v>359</v>
      </c>
      <c r="F123" s="20" t="n">
        <v>46350</v>
      </c>
      <c r="G123" s="19" t="s">
        <v>455</v>
      </c>
      <c r="H123" s="21" t="n">
        <f aca="true">IF(F123="","",F123-TODAY())</f>
        <v>48</v>
      </c>
      <c r="I123" s="28" t="s">
        <v>14</v>
      </c>
      <c r="J123" s="18" t="s">
        <v>6</v>
      </c>
      <c r="K123" s="19" t="s">
        <v>456</v>
      </c>
      <c r="L123" s="19" t="s">
        <v>457</v>
      </c>
      <c r="M123" s="19" t="s">
        <v>458</v>
      </c>
    </row>
    <row r="124" customFormat="false" ht="23.85" hidden="false" customHeight="false" outlineLevel="0" collapsed="false">
      <c r="A124" s="18" t="n">
        <v>123</v>
      </c>
      <c r="B124" s="19" t="s">
        <v>452</v>
      </c>
      <c r="C124" s="19" t="s">
        <v>459</v>
      </c>
      <c r="D124" s="19" t="s">
        <v>460</v>
      </c>
      <c r="E124" s="19" t="s">
        <v>42</v>
      </c>
      <c r="F124" s="20"/>
      <c r="G124" s="19" t="s">
        <v>461</v>
      </c>
      <c r="H124" s="21" t="str">
        <f aca="true">IF(F124="","",F124-TODAY())</f>
        <v/>
      </c>
      <c r="I124" s="27" t="s">
        <v>12</v>
      </c>
      <c r="J124" s="18" t="s">
        <v>8</v>
      </c>
      <c r="K124" s="19" t="s">
        <v>462</v>
      </c>
      <c r="L124" s="19"/>
      <c r="M124" s="19" t="s">
        <v>463</v>
      </c>
    </row>
    <row r="125" customFormat="false" ht="15" hidden="false" customHeight="false" outlineLevel="0" collapsed="false">
      <c r="A125" s="18" t="n">
        <v>124</v>
      </c>
      <c r="B125" s="19" t="s">
        <v>464</v>
      </c>
      <c r="C125" s="19" t="s">
        <v>465</v>
      </c>
      <c r="D125" s="19" t="s">
        <v>466</v>
      </c>
      <c r="E125" s="19" t="s">
        <v>100</v>
      </c>
      <c r="F125" s="20"/>
      <c r="G125" s="19" t="s">
        <v>467</v>
      </c>
      <c r="H125" s="21" t="str">
        <f aca="true">IF(F125="","",F125-TODAY())</f>
        <v/>
      </c>
      <c r="I125" s="28" t="s">
        <v>14</v>
      </c>
      <c r="J125" s="18" t="s">
        <v>8</v>
      </c>
      <c r="K125" s="19" t="s">
        <v>468</v>
      </c>
      <c r="L125" s="19"/>
      <c r="M125" s="19"/>
    </row>
    <row r="126" customFormat="false" ht="15" hidden="false" customHeight="false" outlineLevel="0" collapsed="false">
      <c r="A126" s="18" t="n">
        <v>125</v>
      </c>
      <c r="B126" s="19" t="s">
        <v>469</v>
      </c>
      <c r="C126" s="19" t="s">
        <v>470</v>
      </c>
      <c r="D126" s="19" t="s">
        <v>471</v>
      </c>
      <c r="E126" s="19" t="s">
        <v>100</v>
      </c>
      <c r="F126" s="20" t="n">
        <v>46438</v>
      </c>
      <c r="G126" s="19" t="s">
        <v>472</v>
      </c>
      <c r="H126" s="21" t="n">
        <f aca="true">IF(F126="","",F126-TODAY())</f>
        <v>136</v>
      </c>
      <c r="I126" s="28" t="s">
        <v>14</v>
      </c>
      <c r="J126" s="18" t="s">
        <v>8</v>
      </c>
      <c r="K126" s="19" t="s">
        <v>473</v>
      </c>
      <c r="L126" s="19" t="s">
        <v>474</v>
      </c>
      <c r="M126" s="19" t="s">
        <v>475</v>
      </c>
    </row>
    <row r="127" customFormat="false" ht="35.05" hidden="false" customHeight="false" outlineLevel="0" collapsed="false">
      <c r="A127" s="18" t="n">
        <v>126</v>
      </c>
      <c r="B127" s="19" t="s">
        <v>476</v>
      </c>
      <c r="C127" s="19" t="s">
        <v>477</v>
      </c>
      <c r="D127" s="19" t="s">
        <v>478</v>
      </c>
      <c r="E127" s="19" t="s">
        <v>100</v>
      </c>
      <c r="F127" s="20" t="n">
        <v>46282</v>
      </c>
      <c r="G127" s="19" t="s">
        <v>479</v>
      </c>
      <c r="H127" s="21" t="n">
        <f aca="true">IF(F127="","",F127-TODAY())</f>
        <v>-20</v>
      </c>
      <c r="I127" s="24" t="s">
        <v>16</v>
      </c>
      <c r="J127" s="18" t="s">
        <v>10</v>
      </c>
      <c r="K127" s="19" t="s">
        <v>480</v>
      </c>
      <c r="L127" s="19" t="s">
        <v>481</v>
      </c>
      <c r="M127" s="19" t="s">
        <v>482</v>
      </c>
    </row>
    <row r="128" customFormat="false" ht="23.85" hidden="false" customHeight="false" outlineLevel="0" collapsed="false">
      <c r="A128" s="18" t="n">
        <v>127</v>
      </c>
      <c r="B128" s="19" t="s">
        <v>55</v>
      </c>
      <c r="C128" s="19" t="s">
        <v>483</v>
      </c>
      <c r="D128" s="19" t="s">
        <v>484</v>
      </c>
      <c r="E128" s="19" t="s">
        <v>42</v>
      </c>
      <c r="F128" s="20"/>
      <c r="G128" s="19" t="s">
        <v>485</v>
      </c>
      <c r="H128" s="21" t="str">
        <f aca="true">IF(F128="","",F128-TODAY())</f>
        <v/>
      </c>
      <c r="I128" s="22" t="s">
        <v>11</v>
      </c>
      <c r="J128" s="18" t="s">
        <v>8</v>
      </c>
      <c r="K128" s="19" t="s">
        <v>486</v>
      </c>
      <c r="L128" s="19" t="s">
        <v>487</v>
      </c>
      <c r="M128" s="19" t="s">
        <v>488</v>
      </c>
    </row>
    <row r="129" customFormat="false" ht="15" hidden="false" customHeight="false" outlineLevel="0" collapsed="false">
      <c r="A129" s="18" t="n">
        <v>128</v>
      </c>
      <c r="B129" s="19" t="s">
        <v>489</v>
      </c>
      <c r="C129" s="19" t="s">
        <v>490</v>
      </c>
      <c r="D129" s="19" t="s">
        <v>491</v>
      </c>
      <c r="E129" s="19" t="s">
        <v>100</v>
      </c>
      <c r="F129" s="20"/>
      <c r="G129" s="19" t="s">
        <v>412</v>
      </c>
      <c r="H129" s="21" t="str">
        <f aca="true">IF(F129="","",F129-TODAY())</f>
        <v/>
      </c>
      <c r="I129" s="28" t="s">
        <v>14</v>
      </c>
      <c r="J129" s="18" t="s">
        <v>10</v>
      </c>
      <c r="K129" s="19" t="s">
        <v>492</v>
      </c>
      <c r="L129" s="19"/>
      <c r="M129" s="19"/>
    </row>
    <row r="130" customFormat="false" ht="23.85" hidden="false" customHeight="false" outlineLevel="0" collapsed="false">
      <c r="A130" s="18" t="n">
        <v>129</v>
      </c>
      <c r="B130" s="19" t="s">
        <v>489</v>
      </c>
      <c r="C130" s="19" t="s">
        <v>493</v>
      </c>
      <c r="D130" s="19" t="s">
        <v>494</v>
      </c>
      <c r="E130" s="19" t="s">
        <v>100</v>
      </c>
      <c r="F130" s="20"/>
      <c r="G130" s="19" t="s">
        <v>412</v>
      </c>
      <c r="H130" s="21" t="str">
        <f aca="true">IF(F130="","",F130-TODAY())</f>
        <v/>
      </c>
      <c r="I130" s="28" t="s">
        <v>14</v>
      </c>
      <c r="J130" s="18" t="s">
        <v>10</v>
      </c>
      <c r="K130" s="19" t="s">
        <v>495</v>
      </c>
      <c r="L130" s="19"/>
      <c r="M130" s="19"/>
    </row>
    <row r="131" customFormat="false" ht="15" hidden="false" customHeight="false" outlineLevel="0" collapsed="false">
      <c r="A131" s="18" t="n">
        <v>130</v>
      </c>
      <c r="B131" s="19" t="s">
        <v>496</v>
      </c>
      <c r="C131" s="19" t="s">
        <v>497</v>
      </c>
      <c r="D131" s="19" t="s">
        <v>498</v>
      </c>
      <c r="E131" s="19" t="s">
        <v>54</v>
      </c>
      <c r="F131" s="20"/>
      <c r="G131" s="19" t="s">
        <v>55</v>
      </c>
      <c r="H131" s="21" t="str">
        <f aca="true">IF(F131="","",F131-TODAY())</f>
        <v/>
      </c>
      <c r="I131" s="22" t="s">
        <v>11</v>
      </c>
      <c r="J131" s="18" t="s">
        <v>8</v>
      </c>
      <c r="K131" s="19" t="s">
        <v>499</v>
      </c>
      <c r="L131" s="19"/>
      <c r="M131" s="19"/>
    </row>
  </sheetData>
  <autoFilter ref="A1:M131"/>
  <conditionalFormatting sqref="H2:H131">
    <cfRule type="expression" priority="2" aboveAverage="0" equalAverage="0" bottom="0" percent="0" rank="0" text="" dxfId="14">
      <formula>AND(ISNUMBER(H2),H2&lt;0)</formula>
    </cfRule>
    <cfRule type="expression" priority="3" aboveAverage="0" equalAverage="0" bottom="0" percent="0" rank="0" text="" dxfId="15">
      <formula>AND(ISNUMBER(H2),H2&gt;=0,H2&lt;=14)</formula>
    </cfRule>
    <cfRule type="expression" priority="4" aboveAverage="0" equalAverage="0" bottom="0" percent="0" rank="0" text="" dxfId="16">
      <formula>AND(ISNUMBER(H2),H2&gt;14)</formula>
    </cfRule>
  </conditionalFormatting>
  <conditionalFormatting sqref="J2:J131">
    <cfRule type="cellIs" priority="5" operator="equal" aboveAverage="0" equalAverage="0" bottom="0" percent="0" rank="0" text="" dxfId="17">
      <formula>"عالية"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5" min="5" style="0" width="32"/>
    <col collapsed="false" customWidth="true" hidden="false" outlineLevel="0" max="6" min="6" style="0" width="38"/>
  </cols>
  <sheetData>
    <row r="1" customFormat="false" ht="15" hidden="false" customHeight="false" outlineLevel="0" collapsed="false">
      <c r="A1" s="17" t="s">
        <v>500</v>
      </c>
      <c r="B1" s="17" t="s">
        <v>33</v>
      </c>
      <c r="C1" s="17" t="s">
        <v>501</v>
      </c>
      <c r="D1" s="17" t="s">
        <v>502</v>
      </c>
      <c r="E1" s="17" t="s">
        <v>503</v>
      </c>
      <c r="F1" s="17" t="s">
        <v>37</v>
      </c>
    </row>
    <row r="2" customFormat="false" ht="15" hidden="false" customHeight="false" outlineLevel="0" collapsed="false">
      <c r="A2" s="20" t="n">
        <v>46314</v>
      </c>
      <c r="B2" s="21" t="n">
        <f aca="true">IF(A2="","",A2-TODAY())</f>
        <v>12</v>
      </c>
      <c r="C2" s="19" t="s">
        <v>504</v>
      </c>
      <c r="D2" s="19" t="s">
        <v>505</v>
      </c>
      <c r="E2" s="19" t="s">
        <v>506</v>
      </c>
      <c r="F2" s="19"/>
    </row>
    <row r="3" customFormat="false" ht="15" hidden="false" customHeight="false" outlineLevel="0" collapsed="false">
      <c r="A3" s="20" t="n">
        <v>46326</v>
      </c>
      <c r="B3" s="21" t="n">
        <f aca="true">IF(A3="","",A3-TODAY())</f>
        <v>24</v>
      </c>
      <c r="C3" s="19" t="s">
        <v>507</v>
      </c>
      <c r="D3" s="19" t="s">
        <v>55</v>
      </c>
      <c r="E3" s="19"/>
      <c r="F3" s="19"/>
    </row>
    <row r="4" customFormat="false" ht="23.85" hidden="false" customHeight="false" outlineLevel="0" collapsed="false">
      <c r="A4" s="20" t="n">
        <v>46350</v>
      </c>
      <c r="B4" s="21" t="n">
        <f aca="true">IF(A4="","",A4-TODAY())</f>
        <v>48</v>
      </c>
      <c r="C4" s="19" t="s">
        <v>508</v>
      </c>
      <c r="D4" s="19" t="s">
        <v>509</v>
      </c>
      <c r="E4" s="19" t="s">
        <v>510</v>
      </c>
      <c r="F4" s="19" t="s">
        <v>457</v>
      </c>
    </row>
    <row r="5" customFormat="false" ht="15" hidden="false" customHeight="false" outlineLevel="0" collapsed="false">
      <c r="A5" s="20" t="n">
        <v>46356</v>
      </c>
      <c r="B5" s="21" t="n">
        <f aca="true">IF(A5="","",A5-TODAY())</f>
        <v>54</v>
      </c>
      <c r="C5" s="19" t="s">
        <v>511</v>
      </c>
      <c r="D5" s="19" t="s">
        <v>512</v>
      </c>
      <c r="E5" s="19"/>
      <c r="F5" s="19"/>
    </row>
    <row r="6" customFormat="false" ht="23.85" hidden="false" customHeight="false" outlineLevel="0" collapsed="false">
      <c r="A6" s="20" t="n">
        <v>46357</v>
      </c>
      <c r="B6" s="21" t="n">
        <f aca="true">IF(A6="","",A6-TODAY())</f>
        <v>55</v>
      </c>
      <c r="C6" s="19" t="s">
        <v>513</v>
      </c>
      <c r="D6" s="19" t="s">
        <v>514</v>
      </c>
      <c r="E6" s="19" t="s">
        <v>515</v>
      </c>
      <c r="F6" s="19"/>
    </row>
    <row r="7" customFormat="false" ht="15" hidden="false" customHeight="false" outlineLevel="0" collapsed="false">
      <c r="A7" s="20" t="n">
        <v>46357</v>
      </c>
      <c r="B7" s="21" t="n">
        <f aca="true">IF(A7="","",A7-TODAY())</f>
        <v>55</v>
      </c>
      <c r="C7" s="19" t="s">
        <v>516</v>
      </c>
      <c r="D7" s="19" t="s">
        <v>514</v>
      </c>
      <c r="E7" s="19"/>
      <c r="F7" s="19"/>
    </row>
    <row r="8" customFormat="false" ht="15" hidden="false" customHeight="false" outlineLevel="0" collapsed="false">
      <c r="A8" s="20" t="n">
        <v>46371</v>
      </c>
      <c r="B8" s="21" t="n">
        <f aca="true">IF(A8="","",A8-TODAY())</f>
        <v>69</v>
      </c>
      <c r="C8" s="19" t="s">
        <v>517</v>
      </c>
      <c r="D8" s="19" t="s">
        <v>518</v>
      </c>
      <c r="E8" s="19" t="s">
        <v>519</v>
      </c>
      <c r="F8" s="19"/>
    </row>
    <row r="9" customFormat="false" ht="15" hidden="false" customHeight="false" outlineLevel="0" collapsed="false">
      <c r="A9" s="20" t="n">
        <v>46402</v>
      </c>
      <c r="B9" s="21" t="n">
        <f aca="true">IF(A9="","",A9-TODAY())</f>
        <v>100</v>
      </c>
      <c r="C9" s="19" t="s">
        <v>520</v>
      </c>
      <c r="D9" s="19" t="s">
        <v>521</v>
      </c>
      <c r="E9" s="19" t="s">
        <v>522</v>
      </c>
      <c r="F9" s="19" t="s">
        <v>474</v>
      </c>
    </row>
    <row r="10" customFormat="false" ht="15" hidden="false" customHeight="false" outlineLevel="0" collapsed="false">
      <c r="A10" s="20" t="n">
        <v>46419</v>
      </c>
      <c r="B10" s="21" t="n">
        <f aca="true">IF(A10="","",A10-TODAY())</f>
        <v>117</v>
      </c>
      <c r="C10" s="19" t="s">
        <v>523</v>
      </c>
      <c r="D10" s="19" t="s">
        <v>521</v>
      </c>
      <c r="E10" s="19" t="s">
        <v>524</v>
      </c>
      <c r="F10" s="19"/>
    </row>
    <row r="11" customFormat="false" ht="15" hidden="false" customHeight="false" outlineLevel="0" collapsed="false">
      <c r="A11" s="20" t="n">
        <v>46438</v>
      </c>
      <c r="B11" s="21" t="n">
        <f aca="true">IF(A11="","",A11-TODAY())</f>
        <v>136</v>
      </c>
      <c r="C11" s="19" t="s">
        <v>525</v>
      </c>
      <c r="D11" s="19" t="s">
        <v>55</v>
      </c>
      <c r="E11" s="19"/>
      <c r="F11" s="19"/>
    </row>
    <row r="12" customFormat="false" ht="23.85" hidden="false" customHeight="false" outlineLevel="0" collapsed="false">
      <c r="A12" s="20" t="n">
        <v>46492</v>
      </c>
      <c r="B12" s="21" t="n">
        <f aca="true">IF(A12="","",A12-TODAY())</f>
        <v>190</v>
      </c>
      <c r="C12" s="19" t="s">
        <v>526</v>
      </c>
      <c r="D12" s="19" t="s">
        <v>521</v>
      </c>
      <c r="E12" s="19" t="s">
        <v>524</v>
      </c>
      <c r="F12" s="19"/>
    </row>
    <row r="13" customFormat="false" ht="23.85" hidden="false" customHeight="false" outlineLevel="0" collapsed="false">
      <c r="A13" s="20"/>
      <c r="B13" s="21" t="str">
        <f aca="true">IF(A13="","",A13-TODAY())</f>
        <v/>
      </c>
      <c r="C13" s="19" t="s">
        <v>527</v>
      </c>
      <c r="D13" s="19" t="s">
        <v>528</v>
      </c>
      <c r="E13" s="19" t="s">
        <v>179</v>
      </c>
      <c r="F13" s="19"/>
    </row>
    <row r="14" customFormat="false" ht="23.85" hidden="false" customHeight="false" outlineLevel="0" collapsed="false">
      <c r="A14" s="20"/>
      <c r="B14" s="21" t="str">
        <f aca="true">IF(A14="","",A14-TODAY())</f>
        <v/>
      </c>
      <c r="C14" s="19" t="s">
        <v>529</v>
      </c>
      <c r="D14" s="19" t="s">
        <v>201</v>
      </c>
      <c r="E14" s="19" t="s">
        <v>530</v>
      </c>
      <c r="F14" s="19"/>
    </row>
    <row r="15" customFormat="false" ht="15" hidden="false" customHeight="false" outlineLevel="0" collapsed="false">
      <c r="A15" s="20"/>
      <c r="B15" s="21" t="str">
        <f aca="true">IF(A15="","",A15-TODAY())</f>
        <v/>
      </c>
      <c r="C15" s="19" t="s">
        <v>531</v>
      </c>
      <c r="D15" s="19" t="s">
        <v>532</v>
      </c>
      <c r="E15" s="19" t="s">
        <v>533</v>
      </c>
      <c r="F15" s="19"/>
    </row>
    <row r="16" customFormat="false" ht="23.85" hidden="false" customHeight="false" outlineLevel="0" collapsed="false">
      <c r="A16" s="20"/>
      <c r="B16" s="21" t="str">
        <f aca="true">IF(A16="","",A16-TODAY())</f>
        <v/>
      </c>
      <c r="C16" s="19" t="s">
        <v>534</v>
      </c>
      <c r="D16" s="19" t="s">
        <v>535</v>
      </c>
      <c r="E16" s="19" t="s">
        <v>536</v>
      </c>
      <c r="F16" s="19"/>
    </row>
    <row r="18" customFormat="false" ht="15" hidden="false" customHeight="false" outlineLevel="0" collapsed="false">
      <c r="A18" s="31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8"/>
    <col collapsed="false" customWidth="true" hidden="false" outlineLevel="0" max="4" min="3" style="0" width="40"/>
  </cols>
  <sheetData>
    <row r="1" customFormat="false" ht="15" hidden="false" customHeight="false" outlineLevel="0" collapsed="false">
      <c r="A1" s="17" t="s">
        <v>538</v>
      </c>
      <c r="B1" s="17" t="s">
        <v>539</v>
      </c>
      <c r="C1" s="17" t="s">
        <v>540</v>
      </c>
      <c r="D1" s="17" t="s">
        <v>38</v>
      </c>
    </row>
    <row r="2" customFormat="false" ht="15" hidden="false" customHeight="false" outlineLevel="0" collapsed="false">
      <c r="A2" s="19" t="s">
        <v>541</v>
      </c>
      <c r="B2" s="19" t="s">
        <v>542</v>
      </c>
      <c r="C2" s="19" t="s">
        <v>543</v>
      </c>
      <c r="D2" s="19" t="s">
        <v>544</v>
      </c>
    </row>
    <row r="3" customFormat="false" ht="15" hidden="false" customHeight="false" outlineLevel="0" collapsed="false">
      <c r="A3" s="19" t="s">
        <v>545</v>
      </c>
      <c r="B3" s="19" t="s">
        <v>546</v>
      </c>
      <c r="C3" s="19" t="s">
        <v>547</v>
      </c>
      <c r="D3" s="19"/>
    </row>
    <row r="4" customFormat="false" ht="15" hidden="false" customHeight="false" outlineLevel="0" collapsed="false">
      <c r="A4" s="19" t="s">
        <v>548</v>
      </c>
      <c r="B4" s="19" t="s">
        <v>549</v>
      </c>
      <c r="C4" s="19" t="s">
        <v>550</v>
      </c>
      <c r="D4" s="19" t="s">
        <v>551</v>
      </c>
    </row>
    <row r="5" customFormat="false" ht="15" hidden="false" customHeight="false" outlineLevel="0" collapsed="false">
      <c r="A5" s="19" t="s">
        <v>552</v>
      </c>
      <c r="B5" s="19" t="s">
        <v>553</v>
      </c>
      <c r="C5" s="19" t="s">
        <v>554</v>
      </c>
      <c r="D5" s="19"/>
    </row>
    <row r="6" customFormat="false" ht="15" hidden="false" customHeight="false" outlineLevel="0" collapsed="false">
      <c r="A6" s="19" t="s">
        <v>555</v>
      </c>
      <c r="B6" s="19" t="s">
        <v>556</v>
      </c>
      <c r="C6" s="19" t="s">
        <v>557</v>
      </c>
      <c r="D6" s="19" t="s">
        <v>558</v>
      </c>
    </row>
    <row r="8" customFormat="false" ht="15" hidden="false" customHeight="false" outlineLevel="0" collapsed="false">
      <c r="A8" s="2" t="s">
        <v>559</v>
      </c>
    </row>
    <row r="9" customFormat="false" ht="15" hidden="false" customHeight="false" outlineLevel="0" collapsed="false">
      <c r="A9" s="17" t="s">
        <v>560</v>
      </c>
      <c r="B9" s="17" t="s">
        <v>561</v>
      </c>
      <c r="C9" s="17" t="s">
        <v>55</v>
      </c>
      <c r="D9" s="17" t="s">
        <v>55</v>
      </c>
    </row>
    <row r="10" customFormat="false" ht="15" hidden="false" customHeight="false" outlineLevel="0" collapsed="false">
      <c r="A10" s="19" t="s">
        <v>562</v>
      </c>
      <c r="B10" s="19" t="s">
        <v>563</v>
      </c>
    </row>
    <row r="11" customFormat="false" ht="15" hidden="false" customHeight="false" outlineLevel="0" collapsed="false">
      <c r="A11" s="19" t="s">
        <v>564</v>
      </c>
      <c r="B11" s="19" t="s">
        <v>565</v>
      </c>
    </row>
    <row r="12" customFormat="false" ht="23.85" hidden="false" customHeight="false" outlineLevel="0" collapsed="false">
      <c r="A12" s="19" t="s">
        <v>566</v>
      </c>
      <c r="B12" s="19" t="s">
        <v>567</v>
      </c>
    </row>
    <row r="13" customFormat="false" ht="35.05" hidden="false" customHeight="false" outlineLevel="0" collapsed="false">
      <c r="A13" s="19" t="s">
        <v>568</v>
      </c>
      <c r="B13" s="19" t="s">
        <v>569</v>
      </c>
    </row>
    <row r="14" customFormat="false" ht="15" hidden="false" customHeight="false" outlineLevel="0" collapsed="false">
      <c r="A14" s="19" t="s">
        <v>570</v>
      </c>
      <c r="B14" s="19" t="s">
        <v>189</v>
      </c>
    </row>
    <row r="15" customFormat="false" ht="15" hidden="false" customHeight="false" outlineLevel="0" collapsed="false">
      <c r="A15" s="19" t="s">
        <v>571</v>
      </c>
      <c r="B15" s="19" t="s">
        <v>572</v>
      </c>
    </row>
    <row r="16" customFormat="false" ht="15" hidden="false" customHeight="false" outlineLevel="0" collapsed="false">
      <c r="A16" s="19" t="s">
        <v>573</v>
      </c>
      <c r="B16" s="19" t="s">
        <v>39</v>
      </c>
    </row>
    <row r="17" customFormat="false" ht="15" hidden="false" customHeight="false" outlineLevel="0" collapsed="false">
      <c r="A17" s="19" t="s">
        <v>574</v>
      </c>
      <c r="B17" s="19" t="s">
        <v>575</v>
      </c>
    </row>
    <row r="18" customFormat="false" ht="15" hidden="false" customHeight="false" outlineLevel="0" collapsed="false">
      <c r="A18" s="19" t="s">
        <v>576</v>
      </c>
      <c r="B18" s="19" t="s">
        <v>577</v>
      </c>
    </row>
    <row r="19" customFormat="false" ht="15" hidden="false" customHeight="false" outlineLevel="0" collapsed="false">
      <c r="A19" s="19" t="s">
        <v>578</v>
      </c>
      <c r="B19" s="19" t="s">
        <v>579</v>
      </c>
    </row>
    <row r="20" customFormat="false" ht="15" hidden="false" customHeight="false" outlineLevel="0" collapsed="false">
      <c r="A20" s="19" t="s">
        <v>580</v>
      </c>
      <c r="B20" s="19" t="s">
        <v>581</v>
      </c>
    </row>
    <row r="21" customFormat="false" ht="15" hidden="false" customHeight="false" outlineLevel="0" collapsed="false">
      <c r="A21" s="19" t="s">
        <v>582</v>
      </c>
      <c r="B21" s="19" t="s">
        <v>583</v>
      </c>
    </row>
    <row r="22" customFormat="false" ht="15" hidden="false" customHeight="false" outlineLevel="0" collapsed="false">
      <c r="A22" s="19" t="s">
        <v>584</v>
      </c>
      <c r="B22" s="19" t="s">
        <v>585</v>
      </c>
    </row>
    <row r="24" customFormat="false" ht="15" hidden="false" customHeight="false" outlineLevel="0" collapsed="false">
      <c r="A24" s="31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7" t="s">
        <v>26</v>
      </c>
      <c r="B1" s="17" t="s">
        <v>587</v>
      </c>
      <c r="C1" s="17" t="s">
        <v>35</v>
      </c>
      <c r="D1" s="17" t="s">
        <v>588</v>
      </c>
      <c r="E1" s="17" t="s">
        <v>589</v>
      </c>
    </row>
    <row r="2" customFormat="false" ht="15" hidden="false" customHeight="false" outlineLevel="0" collapsed="false">
      <c r="A2" s="18" t="n">
        <v>1</v>
      </c>
      <c r="B2" s="19" t="s">
        <v>590</v>
      </c>
      <c r="C2" s="18" t="s">
        <v>6</v>
      </c>
      <c r="D2" s="19" t="s">
        <v>591</v>
      </c>
      <c r="E2" s="19" t="s">
        <v>592</v>
      </c>
    </row>
    <row r="3" customFormat="false" ht="15" hidden="false" customHeight="false" outlineLevel="0" collapsed="false">
      <c r="A3" s="18" t="n">
        <v>2</v>
      </c>
      <c r="B3" s="19" t="s">
        <v>593</v>
      </c>
      <c r="C3" s="18" t="s">
        <v>6</v>
      </c>
      <c r="D3" s="19" t="s">
        <v>594</v>
      </c>
      <c r="E3" s="19" t="s">
        <v>595</v>
      </c>
    </row>
    <row r="4" customFormat="false" ht="15" hidden="false" customHeight="false" outlineLevel="0" collapsed="false">
      <c r="A4" s="18" t="n">
        <v>3</v>
      </c>
      <c r="B4" s="19" t="s">
        <v>596</v>
      </c>
      <c r="C4" s="18" t="s">
        <v>6</v>
      </c>
      <c r="D4" s="19" t="s">
        <v>597</v>
      </c>
      <c r="E4" s="19" t="s">
        <v>598</v>
      </c>
    </row>
    <row r="5" customFormat="false" ht="23.85" hidden="false" customHeight="false" outlineLevel="0" collapsed="false">
      <c r="A5" s="18" t="n">
        <v>4</v>
      </c>
      <c r="B5" s="19" t="s">
        <v>599</v>
      </c>
      <c r="C5" s="18" t="s">
        <v>6</v>
      </c>
      <c r="D5" s="19" t="s">
        <v>600</v>
      </c>
      <c r="E5" s="19" t="s">
        <v>601</v>
      </c>
    </row>
    <row r="6" customFormat="false" ht="15" hidden="false" customHeight="false" outlineLevel="0" collapsed="false">
      <c r="A6" s="18" t="n">
        <v>5</v>
      </c>
      <c r="B6" s="19" t="s">
        <v>602</v>
      </c>
      <c r="C6" s="18" t="s">
        <v>6</v>
      </c>
      <c r="D6" s="19" t="s">
        <v>603</v>
      </c>
      <c r="E6" s="19" t="s">
        <v>598</v>
      </c>
    </row>
    <row r="7" customFormat="false" ht="15" hidden="false" customHeight="false" outlineLevel="0" collapsed="false">
      <c r="A7" s="18" t="n">
        <v>6</v>
      </c>
      <c r="B7" s="19" t="s">
        <v>604</v>
      </c>
      <c r="C7" s="18" t="s">
        <v>6</v>
      </c>
      <c r="D7" s="19" t="s">
        <v>605</v>
      </c>
      <c r="E7" s="19" t="s">
        <v>601</v>
      </c>
    </row>
    <row r="8" customFormat="false" ht="15" hidden="false" customHeight="false" outlineLevel="0" collapsed="false">
      <c r="A8" s="18" t="n">
        <v>7</v>
      </c>
      <c r="B8" s="19" t="s">
        <v>606</v>
      </c>
      <c r="C8" s="18" t="s">
        <v>6</v>
      </c>
      <c r="D8" s="19" t="s">
        <v>607</v>
      </c>
      <c r="E8" s="19" t="s">
        <v>608</v>
      </c>
    </row>
    <row r="9" customFormat="false" ht="15" hidden="false" customHeight="false" outlineLevel="0" collapsed="false">
      <c r="A9" s="18" t="n">
        <v>8</v>
      </c>
      <c r="B9" s="19" t="s">
        <v>609</v>
      </c>
      <c r="C9" s="18" t="s">
        <v>8</v>
      </c>
      <c r="D9" s="19" t="s">
        <v>610</v>
      </c>
      <c r="E9" s="19" t="s">
        <v>611</v>
      </c>
    </row>
    <row r="10" customFormat="false" ht="23.85" hidden="false" customHeight="false" outlineLevel="0" collapsed="false">
      <c r="A10" s="18" t="n">
        <v>9</v>
      </c>
      <c r="B10" s="19" t="s">
        <v>612</v>
      </c>
      <c r="C10" s="18" t="s">
        <v>8</v>
      </c>
      <c r="D10" s="19" t="s">
        <v>613</v>
      </c>
      <c r="E10" s="19" t="s">
        <v>614</v>
      </c>
    </row>
    <row r="11" customFormat="false" ht="15" hidden="false" customHeight="false" outlineLevel="0" collapsed="false">
      <c r="A11" s="18" t="n">
        <v>10</v>
      </c>
      <c r="B11" s="19" t="s">
        <v>615</v>
      </c>
      <c r="C11" s="18" t="s">
        <v>8</v>
      </c>
      <c r="D11" s="19"/>
      <c r="E11" s="19" t="s">
        <v>598</v>
      </c>
    </row>
    <row r="12" customFormat="false" ht="15" hidden="false" customHeight="false" outlineLevel="0" collapsed="false">
      <c r="A12" s="18" t="n">
        <v>11</v>
      </c>
      <c r="B12" s="19" t="s">
        <v>616</v>
      </c>
      <c r="C12" s="18" t="s">
        <v>10</v>
      </c>
      <c r="D12" s="19"/>
      <c r="E12" s="19" t="s">
        <v>617</v>
      </c>
    </row>
  </sheetData>
  <conditionalFormatting sqref="C2:C12">
    <cfRule type="cellIs" priority="2" operator="equal" aboveAverage="0" equalAverage="0" bottom="0" percent="0" rank="0" text="" dxfId="17">
      <formula>"عالية"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2026-10-07T23:18:51Z</dcterms:created>
  <dc:creator>openpyxl</dc:creator>
  <dc:description/>
  <dc:language>en-US</dc:language>
  <cp:lastModifiedBy/>
  <dcterms:modified xsi:type="dcterms:W3CDTF">2026-10-07T23:18:51Z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