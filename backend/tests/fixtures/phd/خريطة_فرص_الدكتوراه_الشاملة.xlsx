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لوحة المتابعة" sheetId="1" state="visible" r:id="rId3"/>
    <sheet name="كل الفرص" sheetId="2" state="visible" r:id="rId4"/>
    <sheet name="سجل التقديمات" sheetId="3" state="visible" r:id="rId5"/>
    <sheet name="خطوات قادمة" sheetId="4" state="visible" r:id="rId6"/>
    <sheet name="تناقضات للتحقق" sheetId="5" state="visible" r:id="rId7"/>
    <sheet name="الدول" sheetId="6" state="visible" r:id="rId8"/>
    <sheet name="الملف والمرجعون" sheetId="7" state="visible" r:id="rId9"/>
    <sheet name="الوثائق والملفات" sheetId="8" state="visible" r:id="rId10"/>
  </sheets>
  <definedNames>
    <definedName function="false" hidden="true" localSheetId="2" name="_xlnm._FilterDatabase" vbProcedure="false">'سجل التقديمات'!$A$1:$E$23</definedName>
    <definedName function="false" hidden="true" localSheetId="1" name="_xlnm._FilterDatabase" vbProcedure="false">'كل الفرص'!$A$4:$O$155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<sst xmlns="http://schemas.openxmlformats.org/spreadsheetml/2006/main" count="2033" uniqueCount="798">
  <si>
    <t xml:space="preserve">لوحة متابعة فرص الدكتوراه</t>
  </si>
  <si>
    <t xml:space="preserve">تاريخ اليوم</t>
  </si>
  <si>
    <t xml:space="preserve">عدد الفرص المسجلة</t>
  </si>
  <si>
    <t xml:space="preserve">حالة التقديم</t>
  </si>
  <si>
    <t xml:space="preserve">العدد</t>
  </si>
  <si>
    <t xml:space="preserve">كيف تقرأ الملف</t>
  </si>
  <si>
    <t xml:space="preserve">قُدِّم</t>
  </si>
  <si>
    <t xml:space="preserve">كل الفرص: الجدول الرئيسي (فلتر على أي عمود).</t>
  </si>
  <si>
    <t xml:space="preserve">تم التواصل – بانتظار الرد</t>
  </si>
  <si>
    <t xml:space="preserve">سجل التقديمات: ما أُرسل فعلاً وتواريخه.</t>
  </si>
  <si>
    <t xml:space="preserve">جاهز / لم يُقدَّم</t>
  </si>
  <si>
    <t xml:space="preserve">خطوات قادمة: المواعيد المستقبلية مرتبة زمنيًا.</t>
  </si>
  <si>
    <t xml:space="preserve">مفتوح – لم يُتواصل بعد</t>
  </si>
  <si>
    <t xml:space="preserve">تناقضات للتحقق: نقاط متضاربة تحتاج حسمًا قبل الاعتماد.</t>
  </si>
  <si>
    <t xml:space="preserve">نافذة مستقبلية</t>
  </si>
  <si>
    <t xml:space="preserve">الدول: تغطية كل بلد وعدد الصفوف.</t>
  </si>
  <si>
    <t xml:space="preserve">قيد التحقق</t>
  </si>
  <si>
    <t xml:space="preserve">الملف والمرجعون + الوثائق: بياناتك الأكاديمية وما جُهِّز.</t>
  </si>
  <si>
    <t xml:space="preserve">مغلق / فات الموعد</t>
  </si>
  <si>
    <t xml:space="preserve">تنبيه: آخر ما سجّلته الذاكرة بتاريخ 28.08.2026؛ لم أعد التحقق من المواقع في هذه الجلسة، فاعتبر 'ساري' مؤشرًا يحتاج تأكيدًا رسميًا.</t>
  </si>
  <si>
    <t xml:space="preserve">مستبعد (غير مؤهل/غير مناسب)</t>
  </si>
  <si>
    <t xml:space="preserve">إسرائيل خارج النطاق نهائيًا بطلبك.</t>
  </si>
  <si>
    <t xml:space="preserve">رفض</t>
  </si>
  <si>
    <t xml:space="preserve">المجموع</t>
  </si>
  <si>
    <t xml:space="preserve">حالة المواعيد</t>
  </si>
  <si>
    <t xml:space="preserve">عاجل (≤14 يوم)</t>
  </si>
  <si>
    <t xml:space="preserve">ساري</t>
  </si>
  <si>
    <t xml:space="preserve">فات الموعد</t>
  </si>
  <si>
    <t xml:space="preserve">—</t>
  </si>
  <si>
    <t xml:space="preserve">الأولوية</t>
  </si>
  <si>
    <t xml:space="preserve">عالية</t>
  </si>
  <si>
    <t xml:space="preserve">متوسطة</t>
  </si>
  <si>
    <t xml:space="preserve">منخفضة</t>
  </si>
  <si>
    <t xml:space="preserve">درجة التحقق</t>
  </si>
  <si>
    <t xml:space="preserve">رسمي</t>
  </si>
  <si>
    <t xml:space="preserve">مصدر ثانوي</t>
  </si>
  <si>
    <t xml:space="preserve">تقديم/تواصل فعلي (منك)</t>
  </si>
  <si>
    <t xml:space="preserve">بحث معمّق – يحتاج تحقق</t>
  </si>
  <si>
    <t xml:space="preserve">غير مؤكد</t>
  </si>
  <si>
    <t xml:space="preserve">خريطة فرص الدكتوراه والتقديمات – أمن سيبراني / أمن الذكاء الاصطناعي</t>
  </si>
  <si>
    <t xml:space="preserve">أيام الموعد وحالته تُحسب تلقائيًا من تاريخ اليوم. أضف صفوفًا جديدة في آخر الجدول (القوائم المنسدلة تعمل حتى الصف 400). ما بعد 28.08.2026 غير مسجَّل في الملاحظات.</t>
  </si>
  <si>
    <t xml:space="preserve">#</t>
  </si>
  <si>
    <t xml:space="preserve">البلد</t>
  </si>
  <si>
    <t xml:space="preserve">الجامعة / الجهة</t>
  </si>
  <si>
    <t xml:space="preserve">المنصب / البرنامج / المشرف</t>
  </si>
  <si>
    <t xml:space="preserve">المجال</t>
  </si>
  <si>
    <t xml:space="preserve">التمويل</t>
  </si>
  <si>
    <t xml:space="preserve">الموعد النهائي</t>
  </si>
  <si>
    <t xml:space="preserve">ملاحظة الموعد</t>
  </si>
  <si>
    <t xml:space="preserve">الأيام المتبقية</t>
  </si>
  <si>
    <t xml:space="preserve">حالة الموعد</t>
  </si>
  <si>
    <t xml:space="preserve">الأهلية والملاحظات</t>
  </si>
  <si>
    <t xml:space="preserve">التواصل / الرابط</t>
  </si>
  <si>
    <t xml:space="preserve">إيطاليا</t>
  </si>
  <si>
    <t xml:space="preserve">IMT Lucca – Ph.D.-CySec (الدكتوراه الوطنية)</t>
  </si>
  <si>
    <t xml:space="preserve">Dottorato Nazionale in Cybersicurezza – الدورة XLII (2026/27): 30 منحة ممولة من ACN على مشاريع ~15 جامعة</t>
  </si>
  <si>
    <t xml:space="preserve">أمن سيبراني (عام)</t>
  </si>
  <si>
    <t xml:space="preserve">ممولة (ACN)</t>
  </si>
  <si>
    <t xml:space="preserve">13:00 CEST</t>
  </si>
  <si>
    <t xml:space="preserve">التقديم عبر cysec.imtlucca.it (PICA). إن لم يُختر مشروع يعيّن المجلس موضوعًا حسب الكفاءة. حدّ المشاريع القصوى في الاستمارة غير منشور. تأكيد التقديم النهائي قبل 31.08 غير مسجَّل عندي.</t>
  </si>
  <si>
    <t xml:space="preserve">phdapplications@imtlucca.it | cysec.imtlucca.it</t>
  </si>
  <si>
    <t xml:space="preserve">Univ. Insubria</t>
  </si>
  <si>
    <t xml:space="preserve">Prof. Elena Ferrari – مشروع LLM: Cryptographic Techniques for Verifiable Privacy Compliance</t>
  </si>
  <si>
    <t xml:space="preserve">خصوصية / LLM / تشفير</t>
  </si>
  <si>
    <t xml:space="preserve">ضمن منح Ph.D.-CySec</t>
  </si>
  <si>
    <t xml:space="preserve">تاريخ داخلي للتحويل لمشروع بديل (غير رسمي)</t>
  </si>
  <si>
    <t xml:space="preserve">أكدت توفّرها 04.08.2026. مشكلة عرض المشروع في PICA؛ Prof. Carminati أكدت 21.08 أن إدارة IMT أُبلغت. إن لم تُحل: التقديم على مشروع بديل لدى Ferrari. رسالة Ferrari v3 جاهزة.</t>
  </si>
  <si>
    <t xml:space="preserve">عبر PICA | Prof. Barbara Carminati (وسيطة)</t>
  </si>
  <si>
    <t xml:space="preserve">Univ. Cagliari</t>
  </si>
  <si>
    <t xml:space="preserve">Prof. Giorgio Giacinto</t>
  </si>
  <si>
    <t xml:space="preserve">أمن / تعلم آلي خصومي</t>
  </si>
  <si>
    <t xml:space="preserve">نفس موعد البرنامج</t>
  </si>
  <si>
    <t xml:space="preserve">تقديم احتياطي. ردّ آلي: عودة متوقعة 24.08.</t>
  </si>
  <si>
    <t xml:space="preserve">CNR-ICAR</t>
  </si>
  <si>
    <t xml:space="preserve">Dr. Fabio Martinelli</t>
  </si>
  <si>
    <t xml:space="preserve">أمن / بيانات</t>
  </si>
  <si>
    <t xml:space="preserve">تقديم احتياطي. تم التحقق: هو CNR-ICAR وليس CNR-IIT (تصحيح خاطئ من مساعد آخر).</t>
  </si>
  <si>
    <t xml:space="preserve">Univ. Genova</t>
  </si>
  <si>
    <t xml:space="preserve">Prof. Alessandro Armando</t>
  </si>
  <si>
    <t xml:space="preserve">أمن / تحقق صوري</t>
  </si>
  <si>
    <t xml:space="preserve">ضمن المشرفين الذين تم التواصل معهم؛ عضو Scientific Board مؤكد رسميًا.</t>
  </si>
  <si>
    <t xml:space="preserve">Univ. Udine (؟)</t>
  </si>
  <si>
    <t xml:space="preserve">Riccio (#25 في القائمة)</t>
  </si>
  <si>
    <t xml:space="preserve">أمن سيبراني</t>
  </si>
  <si>
    <t xml:space="preserve">ردّ إيجابيًا وأُرسلت الأطروحة والسيرة والكشوف. تحذير: غير موجود في Scientific Board الرسمي؛ ممثل UNIUD الرسمي هو Prof. Gian Luca Foresti؛ وDaniel Riccio أستاذ في Federico II نابولي. تحقق عاجل من هويته.</t>
  </si>
  <si>
    <t xml:space="preserve">IMT Lucca</t>
  </si>
  <si>
    <t xml:space="preserve">Prof. Letterio Galletta – Methods and tools for the security assessment of critical information infrastructures</t>
  </si>
  <si>
    <t xml:space="preserve">تقييم أمن البنى الحرجة</t>
  </si>
  <si>
    <t xml:space="preserve">مشروع نقلتَه من PICA؛ لم يُتواصل معه حتى 27.08. عضو Scientific Board مؤكد.</t>
  </si>
  <si>
    <t xml:space="preserve">letterio.galletta@imtlucca.it</t>
  </si>
  <si>
    <t xml:space="preserve">IMT Lucca + Polito Torino</t>
  </si>
  <si>
    <t xml:space="preserve">Prof. Costa / Prof. Prinetto (مشاريع مشتركة)</t>
  </si>
  <si>
    <t xml:space="preserve">أمن / أنظمة</t>
  </si>
  <si>
    <t xml:space="preserve">ضمن ترتيب ChatGPT للمشاريع السبعة؛ الأعضاء مؤكدون في Scientific Board. نسب الملاءمة تحتاج مطابقة مع القائمة الرسمية.</t>
  </si>
  <si>
    <t xml:space="preserve">Univ. Bari</t>
  </si>
  <si>
    <t xml:space="preserve">Prof. Caivano / Prof. Ragone</t>
  </si>
  <si>
    <t xml:space="preserve">هندسة برمجيات آمنة</t>
  </si>
  <si>
    <t xml:space="preserve">Caivano مؤكد رسميًا في Scientific Board.</t>
  </si>
  <si>
    <t xml:space="preserve">Prof. Annalisa Appice – XAI</t>
  </si>
  <si>
    <t xml:space="preserve">ذكاء اصطناعي قابل للتفسير</t>
  </si>
  <si>
    <t xml:space="preserve">مؤكدة رسميًا في Scientific Board.</t>
  </si>
  <si>
    <t xml:space="preserve">Univ. Calabria</t>
  </si>
  <si>
    <t xml:space="preserve">Prof. Furfaro – SHIELD</t>
  </si>
  <si>
    <t xml:space="preserve">أمن</t>
  </si>
  <si>
    <t xml:space="preserve">ورد في ترتيب ChatGPT فقط؛ لم يُتحقق من وجوده في القائمة الرسمية.</t>
  </si>
  <si>
    <t xml:space="preserve">Univ. Udine</t>
  </si>
  <si>
    <t xml:space="preserve">Prof. Gian Luca Foresti (ممثل UNIUD/DMIF الرسمي)</t>
  </si>
  <si>
    <t xml:space="preserve">أمن / رؤية حاسوبية</t>
  </si>
  <si>
    <t xml:space="preserve">قد يكون المخرج الصحيح لمسألة Riccio.</t>
  </si>
  <si>
    <t xml:space="preserve">Univ. L'Aquila</t>
  </si>
  <si>
    <t xml:space="preserve">مسار سابق (تفاصيل غير محفوظة)</t>
  </si>
  <si>
    <t xml:space="preserve">تمت تغطيته في مسح مبكر؛ لا تفاصيل محفوظة.</t>
  </si>
  <si>
    <t xml:space="preserve">سويسرا</t>
  </si>
  <si>
    <t xml:space="preserve">CYD Campus – CYD Fellowship (EPFL)</t>
  </si>
  <si>
    <t xml:space="preserve">الخطوة 1 مُقدَّمة، ID: CYD2002461</t>
  </si>
  <si>
    <t xml:space="preserve">أمن سيبراني / دفاع</t>
  </si>
  <si>
    <t xml:space="preserve">ممولة</t>
  </si>
  <si>
    <t xml:space="preserve">خطاب دعم من أستاذ سويسري قبل 01.10.2026</t>
  </si>
  <si>
    <t xml:space="preserve">المرجعان: Ezzeddine Attir وLalia Saoudi. EPFL طلبت وثائق إضافية وتم تسليمها 21.08. الجدول: نتيجة الأهلية خلال أسابيع، إشعار الخطوة 2 منتصف سبتمبر، 48 ساعة للتواصل مع المرشد. حالة ما بعد 21.08 غير مسجلة.</t>
  </si>
  <si>
    <t xml:space="preserve">ETH Zurich / EPFL</t>
  </si>
  <si>
    <t xml:space="preserve">Perrig, Hubaux, Basin, Čapkun</t>
  </si>
  <si>
    <t xml:space="preserve">أمن شبكات / أنظمة / تحقق</t>
  </si>
  <si>
    <t xml:space="preserve">تواصل بتاريخ 01.08.2026.</t>
  </si>
  <si>
    <t xml:space="preserve">Swiss Government Excellence Scholarships</t>
  </si>
  <si>
    <t xml:space="preserve">منحة حكومية (فتحت 20.08.2026)</t>
  </si>
  <si>
    <t xml:space="preserve">عام</t>
  </si>
  <si>
    <t xml:space="preserve">الموعد غير مسجل</t>
  </si>
  <si>
    <t xml:space="preserve">تحقق من الموعد والأهلية من الموقع الرسمي.</t>
  </si>
  <si>
    <t xml:space="preserve">إسبانيا</t>
  </si>
  <si>
    <t xml:space="preserve">IMDEA Networks</t>
  </si>
  <si>
    <t xml:space="preserve">المشرفان المفضلان: Vallina-Rodríguez وSuárez-Tangil</t>
  </si>
  <si>
    <t xml:space="preserve">أمن شبكات / خصوصية / برمجيات خبيثة</t>
  </si>
  <si>
    <t xml:space="preserve">قُدِّم 10.08.2026.</t>
  </si>
  <si>
    <t xml:space="preserve">UC3M</t>
  </si>
  <si>
    <t xml:space="preserve">دكتوراه ممولة 3 سنوات – أمن 5G/6G (Horizon Europe)</t>
  </si>
  <si>
    <t xml:space="preserve">أمن 5G/6G</t>
  </si>
  <si>
    <t xml:space="preserve">تقديم مستمر</t>
  </si>
  <si>
    <t xml:space="preserve">من البحث المعمّق 23.08.</t>
  </si>
  <si>
    <t xml:space="preserve">ألمانيا</t>
  </si>
  <si>
    <t xml:space="preserve">CISPA</t>
  </si>
  <si>
    <t xml:space="preserve">SprintML (Boenisch &amp; Dziedzic)</t>
  </si>
  <si>
    <t xml:space="preserve">تعلم آلي آمن / خصوصية</t>
  </si>
  <si>
    <t xml:space="preserve">تقديم مستمر (rolling) – لا موعد</t>
  </si>
  <si>
    <t xml:space="preserve">لم يُقدَّم. غموض: عبارة 'صالح حتى 15.08' (انتهى أم تم التحقق فيه) – انظر ورقة التناقضات.</t>
  </si>
  <si>
    <t xml:space="preserve">ats / صفحة المجموعة</t>
  </si>
  <si>
    <t xml:space="preserve">مجموعة Ali Abbasi (cispa_research_statement.md)</t>
  </si>
  <si>
    <t xml:space="preserve">قُدِّم – ملاءمة ضعيفة.</t>
  </si>
  <si>
    <t xml:space="preserve">برنامج 'Initiative'</t>
  </si>
  <si>
    <t xml:space="preserve">قُدِّم.</t>
  </si>
  <si>
    <t xml:space="preserve">مجموعة Singh</t>
  </si>
  <si>
    <t xml:space="preserve">سُحب الإعلان قبل التقديم.</t>
  </si>
  <si>
    <t xml:space="preserve">جامعات ألمانية – تواصل مباشر</t>
  </si>
  <si>
    <t xml:space="preserve">Waidner, Hollick, Cremers, Stock, Rieck, Eckert, Paar, Sadeghi</t>
  </si>
  <si>
    <t xml:space="preserve">أمن / تشفير / شبكات</t>
  </si>
  <si>
    <t xml:space="preserve">بانتظار الردود.</t>
  </si>
  <si>
    <t xml:space="preserve">Univ. Passau</t>
  </si>
  <si>
    <t xml:space="preserve">Prof. Joachim Posegga</t>
  </si>
  <si>
    <t xml:space="preserve">بانتظار الرد؛ وثيقة خارجية تلمّح لرفض أو تقاعد (غير مؤكد).</t>
  </si>
  <si>
    <t xml:space="preserve">Ruhr-Univ. Bochum / Max Planck</t>
  </si>
  <si>
    <t xml:space="preserve">Prof. Thorsten Holz</t>
  </si>
  <si>
    <t xml:space="preserve">اعتذر.</t>
  </si>
  <si>
    <t xml:space="preserve">جهة ألمانية</t>
  </si>
  <si>
    <t xml:space="preserve">Prof. Konrad Rossow</t>
  </si>
  <si>
    <t xml:space="preserve">أمن شبكات</t>
  </si>
  <si>
    <t xml:space="preserve">Prof. Fischer</t>
  </si>
  <si>
    <t xml:space="preserve">تواصل 02.08.2026 – بانتظار الرد.</t>
  </si>
  <si>
    <t xml:space="preserve">HPI Potsdam</t>
  </si>
  <si>
    <t xml:space="preserve">Chuengsatiansup – High-Assurance Systems</t>
  </si>
  <si>
    <t xml:space="preserve">أنظمة عالية الضمان</t>
  </si>
  <si>
    <t xml:space="preserve">ضمن 3 مشاريع قُدّم عليها؛ لم يُسجَّل تأكيد التقديم لهذا المشروع.</t>
  </si>
  <si>
    <t xml:space="preserve">KriKom-LK-MEI و ReDiKom (Prof. Dörr)</t>
  </si>
  <si>
    <t xml:space="preserve">اتصالات حرجة / مرونة</t>
  </si>
  <si>
    <t xml:space="preserve">أُرسلت 11.08.2026.</t>
  </si>
  <si>
    <t xml:space="preserve">DAAD</t>
  </si>
  <si>
    <t xml:space="preserve">منحة DAAD للدكتوراه</t>
  </si>
  <si>
    <t xml:space="preserve">مشرفو الاحتياط: Panchenko (BTU Cottbus)، Pernul (Regensburg)، Bauschert (TU Chemnitz)، Schmidt (HAW Hamburg)، Sohr (Bremen). تأكيد التقديم غير مسجَّل.</t>
  </si>
  <si>
    <t xml:space="preserve">ATHENE / TU Darmstadt</t>
  </si>
  <si>
    <t xml:space="preserve">Krauß (تم التواصل) – Prof. Iryna Gurevych / UKP Lab (لم تُستكشف)</t>
  </si>
  <si>
    <t xml:space="preserve">أمن تطبيقي / NLP موثوق</t>
  </si>
  <si>
    <t xml:space="preserve">Gurevych لم تُستكشف بعد.</t>
  </si>
  <si>
    <t xml:space="preserve">Max Planck Graduate Center (Saarbrücken)</t>
  </si>
  <si>
    <t xml:space="preserve">Max Planck Graduate Center for Computer and Information Science</t>
  </si>
  <si>
    <t xml:space="preserve">علوم حاسوب / معلومات</t>
  </si>
  <si>
    <t xml:space="preserve">تمويل كامل</t>
  </si>
  <si>
    <t xml:space="preserve">برنامج انتقائي جدًا.</t>
  </si>
  <si>
    <t xml:space="preserve">Univ. Oldenburg</t>
  </si>
  <si>
    <t xml:space="preserve">دكتوراه 4 سنوات – تشفير + ذكاء اصطناعي موثوق</t>
  </si>
  <si>
    <t xml:space="preserve">تشفير / AI</t>
  </si>
  <si>
    <t xml:space="preserve">غير مسجل</t>
  </si>
  <si>
    <t xml:space="preserve">من البحث المعمّق.</t>
  </si>
  <si>
    <t xml:space="preserve">IMPRS (Max Planck + Bochum)</t>
  </si>
  <si>
    <t xml:space="preserve">تقنيات حماية الخصوصية</t>
  </si>
  <si>
    <t xml:space="preserve">خصوصية</t>
  </si>
  <si>
    <t xml:space="preserve">فرنسا</t>
  </si>
  <si>
    <t xml:space="preserve">Inria WIDE – Rennes</t>
  </si>
  <si>
    <t xml:space="preserve">المرجع 2026-10235</t>
  </si>
  <si>
    <t xml:space="preserve">أمن / أنظمة موزعة</t>
  </si>
  <si>
    <t xml:space="preserve">عاجل وقتها</t>
  </si>
  <si>
    <t xml:space="preserve">صُنِّف خطأً تحت 'ألمانيا' في وثيقة المصدر. تأكيد التقديم غير مسجَّل.</t>
  </si>
  <si>
    <t xml:space="preserve">المرجع 2026-10297</t>
  </si>
  <si>
    <t xml:space="preserve">تأكيد التقديم غير مسجَّل.</t>
  </si>
  <si>
    <t xml:space="preserve">بلجيكا</t>
  </si>
  <si>
    <t xml:space="preserve">KU Leuven – DistriNet</t>
  </si>
  <si>
    <t xml:space="preserve">Prof. Singelée: Physical-layer security لشبكات الشبك اللاسلكية</t>
  </si>
  <si>
    <t xml:space="preserve">أمن الطبقة الفيزيائية</t>
  </si>
  <si>
    <t xml:space="preserve">قُدِّم فعليًا.</t>
  </si>
  <si>
    <t xml:space="preserve">KU Leuven</t>
  </si>
  <si>
    <t xml:space="preserve">Prof. Naessens</t>
  </si>
  <si>
    <t xml:space="preserve">أمن / خصوصية</t>
  </si>
  <si>
    <t xml:space="preserve">أُرسل قبل الموعد بدقائق</t>
  </si>
  <si>
    <t xml:space="preserve">Ghent University</t>
  </si>
  <si>
    <t xml:space="preserve">دكتوراه 4 سنوات – AI/RL لمقاومة التشويش في 6G O-RAN</t>
  </si>
  <si>
    <t xml:space="preserve">أمن 6G / AI</t>
  </si>
  <si>
    <t xml:space="preserve">لم يُسجَّل تقديم.</t>
  </si>
  <si>
    <t xml:space="preserve">KU Leuven / imec (+ UGent, VUB, UAntwerp, UHasselt, ULB)</t>
  </si>
  <si>
    <t xml:space="preserve">نافذة التقديم القادمة (خريف 2026)</t>
  </si>
  <si>
    <t xml:space="preserve">أمن / COSIC</t>
  </si>
  <si>
    <t xml:space="preserve">خريف 2026</t>
  </si>
  <si>
    <t xml:space="preserve">راقب فتح النافذة.</t>
  </si>
  <si>
    <t xml:space="preserve">هولندا</t>
  </si>
  <si>
    <t xml:space="preserve">TU Delft</t>
  </si>
  <si>
    <t xml:space="preserve">Zannettou – AI-driven Cybersecurity and Cybersafety</t>
  </si>
  <si>
    <t xml:space="preserve">أمن سيبراني / AI</t>
  </si>
  <si>
    <t xml:space="preserve">مغلقة (كانت ديسمبر 2024، مواقع تجميع أعطت تواريخ مضللة).</t>
  </si>
  <si>
    <t xml:space="preserve">Griffioen</t>
  </si>
  <si>
    <t xml:space="preserve">فاتت.</t>
  </si>
  <si>
    <t xml:space="preserve">Decentralized and Trustworthy AI Pipelines (مشروع WALTZ)</t>
  </si>
  <si>
    <t xml:space="preserve">AI موثوق</t>
  </si>
  <si>
    <t xml:space="preserve">NExTWORKx</t>
  </si>
  <si>
    <t xml:space="preserve">شبكات</t>
  </si>
  <si>
    <t xml:space="preserve">للمراقبة.</t>
  </si>
  <si>
    <t xml:space="preserve">TU Eindhoven</t>
  </si>
  <si>
    <t xml:space="preserve">SecReSy4You (شبكة MSCA)</t>
  </si>
  <si>
    <t xml:space="preserve">تحكم مرن للأنظمة السيبرانية-الفيزيائية</t>
  </si>
  <si>
    <t xml:space="preserve">≈ €3,059–3,881 شهريًا</t>
  </si>
  <si>
    <t xml:space="preserve">للشبكة منصب أيضًا في Padova (إيطاليا).</t>
  </si>
  <si>
    <t xml:space="preserve">Radboud University</t>
  </si>
  <si>
    <t xml:space="preserve">خصوصية رقمية وأمن سيبراني</t>
  </si>
  <si>
    <t xml:space="preserve">خصوصية / أمن</t>
  </si>
  <si>
    <t xml:space="preserve">Leiden University (لاهاي)</t>
  </si>
  <si>
    <t xml:space="preserve">PhD Fellow – Governance of Cybercrime (60 شهرًا)</t>
  </si>
  <si>
    <t xml:space="preserve">حوكمة الجريمة السيبرانية</t>
  </si>
  <si>
    <t xml:space="preserve">€3,546–5,538 شهريًا</t>
  </si>
  <si>
    <t xml:space="preserve">معالجة مستمرة</t>
  </si>
  <si>
    <t xml:space="preserve">محوره الضحايا/الحوكمة وليس الهندسة.</t>
  </si>
  <si>
    <t xml:space="preserve">السويد</t>
  </si>
  <si>
    <t xml:space="preserve">KTH</t>
  </si>
  <si>
    <t xml:space="preserve">Prof. Panos Papadimitratos</t>
  </si>
  <si>
    <t xml:space="preserve">أمن شبكات / مركبات</t>
  </si>
  <si>
    <t xml:space="preserve">23.09 مؤكد (30.09 في مصدر آخر)</t>
  </si>
  <si>
    <t xml:space="preserve">قُدِّم 11.08.2026. تقرير HexaGuard التقني وخطاب KTH جاهزان.</t>
  </si>
  <si>
    <t xml:space="preserve">Chalmers</t>
  </si>
  <si>
    <t xml:space="preserve">Sabelfeld – Web and Emerging Applications Security</t>
  </si>
  <si>
    <t xml:space="preserve">أمن الويب</t>
  </si>
  <si>
    <t xml:space="preserve">مغلقة.</t>
  </si>
  <si>
    <t xml:space="preserve">Chalmers (Gothenburg)</t>
  </si>
  <si>
    <t xml:space="preserve">3 مناصب دكتوراه – continuous compliance (XAI، تتبّع، أدلة آلية عبر CI/CD)</t>
  </si>
  <si>
    <t xml:space="preserve">امتثال مستمر</t>
  </si>
  <si>
    <t xml:space="preserve">ممولة 5 سنوات</t>
  </si>
  <si>
    <t xml:space="preserve">مناسب لمحور NIST/ISO27005/FAIR/CISA KEV في SecuraX.</t>
  </si>
  <si>
    <t xml:space="preserve">Karlstad – DRIVE</t>
  </si>
  <si>
    <t xml:space="preserve">فات الموعد.</t>
  </si>
  <si>
    <t xml:space="preserve">Karlstad</t>
  </si>
  <si>
    <t xml:space="preserve">دكتوراه 4 سنوات – نماذج LLM محلية آمنة وخاصة (fine-tuning, RAG)</t>
  </si>
  <si>
    <t xml:space="preserve">LLM آمن</t>
  </si>
  <si>
    <t xml:space="preserve">مدفوعة</t>
  </si>
  <si>
    <t xml:space="preserve">فرصة غير مؤكدة.</t>
  </si>
  <si>
    <t xml:space="preserve">Örebro / WASP</t>
  </si>
  <si>
    <t xml:space="preserve">أمن سيبراني للروبوتات والذكاء المجسّد</t>
  </si>
  <si>
    <t xml:space="preserve">AI / روبوتات</t>
  </si>
  <si>
    <t xml:space="preserve">Jönköping</t>
  </si>
  <si>
    <t xml:space="preserve">مستبعدة.</t>
  </si>
  <si>
    <t xml:space="preserve">فنلندا</t>
  </si>
  <si>
    <t xml:space="preserve">University of Turku</t>
  </si>
  <si>
    <t xml:space="preserve">Doctoral Researcher in Generative AI for Cyber Protection (Prof. Kaitai Liang)</t>
  </si>
  <si>
    <t xml:space="preserve">GenAI / برمجيات خبيثة / ثغرات</t>
  </si>
  <si>
    <t xml:space="preserve">مؤكد من المصدر الرسمي 15.08. خطاب Turku جاهز. تأكيد التقديم غير مسجَّل.</t>
  </si>
  <si>
    <t xml:space="preserve">ats.talentadore.com (Doctoral researcher … DGyX4g)</t>
  </si>
  <si>
    <t xml:space="preserve">Privacy-Preserving Federated Learning and Trustworthy AI</t>
  </si>
  <si>
    <t xml:space="preserve">خصوصية / FL</t>
  </si>
  <si>
    <t xml:space="preserve">ضمن نفس المجموعة، مع LLM Privacy &amp; Security.</t>
  </si>
  <si>
    <t xml:space="preserve">Aalto / NTNU</t>
  </si>
  <si>
    <t xml:space="preserve">فتحات شتاء/ربيع</t>
  </si>
  <si>
    <t xml:space="preserve">شتاء/ربيع</t>
  </si>
  <si>
    <t xml:space="preserve">أغلبها مقفل حاليًا.</t>
  </si>
  <si>
    <t xml:space="preserve">الدنمارك</t>
  </si>
  <si>
    <t xml:space="preserve">Aalborg University</t>
  </si>
  <si>
    <t xml:space="preserve">AI:DEFENCE – Prof. Johannes Bjerva</t>
  </si>
  <si>
    <t xml:space="preserve">AI / دفاع</t>
  </si>
  <si>
    <t xml:space="preserve">غير مؤكد رسميًا</t>
  </si>
  <si>
    <t xml:space="preserve">جولة 17.02 أغلقت؛ جولة 31.08 لم تُؤكَّد عبر صفحة رسمية.</t>
  </si>
  <si>
    <t xml:space="preserve">jbjerva@cs.aau.dk</t>
  </si>
  <si>
    <t xml:space="preserve">Secure Embedded AI</t>
  </si>
  <si>
    <t xml:space="preserve">أمن AI مدمج</t>
  </si>
  <si>
    <t xml:space="preserve">إرسال لم يؤكَّد؛ على الأرجح فات.</t>
  </si>
  <si>
    <t xml:space="preserve">Aarhus University / A3 Lab</t>
  </si>
  <si>
    <t xml:space="preserve">Efficient Test-Time Model Adaptation in Dynamic Edge Environments</t>
  </si>
  <si>
    <t xml:space="preserve">AI على الحافة</t>
  </si>
  <si>
    <t xml:space="preserve">ممولة (دولي مقبول)</t>
  </si>
  <si>
    <t xml:space="preserve">دكتوراه 3 سنوات – علم الجريمة السيبرانية</t>
  </si>
  <si>
    <t xml:space="preserve">جريمة سيبرانية</t>
  </si>
  <si>
    <t xml:space="preserve">خارج التخصص التقني.</t>
  </si>
  <si>
    <t xml:space="preserve">University of Copenhagen</t>
  </si>
  <si>
    <t xml:space="preserve">CopeNLU</t>
  </si>
  <si>
    <t xml:space="preserve">NLP / AI</t>
  </si>
  <si>
    <t xml:space="preserve">تمت تغطيته مبكرًا.</t>
  </si>
  <si>
    <t xml:space="preserve">النرويج</t>
  </si>
  <si>
    <t xml:space="preserve">BI Norwegian Business School (Oslo)</t>
  </si>
  <si>
    <t xml:space="preserve">دكتوراه 4 سنوات – حوكمة بيانات محورها الإنسان وخصوصية</t>
  </si>
  <si>
    <t xml:space="preserve">خصوصية / حوكمة</t>
  </si>
  <si>
    <t xml:space="preserve">ملاءمة متوسطة (علوم اجتماعية).</t>
  </si>
  <si>
    <t xml:space="preserve">NTNU</t>
  </si>
  <si>
    <t xml:space="preserve">بريطانيا</t>
  </si>
  <si>
    <t xml:space="preserve">Lancaster University</t>
  </si>
  <si>
    <t xml:space="preserve">Race / Yao / Prince</t>
  </si>
  <si>
    <t xml:space="preserve">مؤكد في وثيقة المساعد الثاني.</t>
  </si>
  <si>
    <t xml:space="preserve">University of Edinburgh</t>
  </si>
  <si>
    <t xml:space="preserve">لم يُقدَّم.</t>
  </si>
  <si>
    <t xml:space="preserve">Newcastle University</t>
  </si>
  <si>
    <t xml:space="preserve">Policy-Compliant Secure AI</t>
  </si>
  <si>
    <t xml:space="preserve">AI آمن</t>
  </si>
  <si>
    <t xml:space="preserve">£21,805 سنويًا</t>
  </si>
  <si>
    <t xml:space="preserve">تغطية الطلاب الدوليين تحتاج تحققًا.</t>
  </si>
  <si>
    <t xml:space="preserve">UCL – CDT Cyber-Physical Risk</t>
  </si>
  <si>
    <t xml:space="preserve">أمن سيبراني-فيزيائي</t>
  </si>
  <si>
    <t xml:space="preserve">£31,000 سنويًا</t>
  </si>
  <si>
    <t xml:space="preserve">University of Surrey</t>
  </si>
  <si>
    <t xml:space="preserve">Lattice-based Swarm Attestation</t>
  </si>
  <si>
    <t xml:space="preserve">تشفير / أسراب</t>
  </si>
  <si>
    <t xml:space="preserve">University of Strathclyde</t>
  </si>
  <si>
    <t xml:space="preserve">حتى 6 مناصب</t>
  </si>
  <si>
    <t xml:space="preserve">EPSRC CDT (غير محدد)</t>
  </si>
  <si>
    <t xml:space="preserve">CDT في الأمن السيبراني مفتوح عالميًا (عبر FindAPhD)</t>
  </si>
  <si>
    <t xml:space="preserve">حدّد الجهة وتحقق.</t>
  </si>
  <si>
    <t xml:space="preserve">UKRI CDT</t>
  </si>
  <si>
    <t xml:space="preserve">أغلب مواعيد 2026 فاتت</t>
  </si>
  <si>
    <t xml:space="preserve">Sheffield / Leeds</t>
  </si>
  <si>
    <t xml:space="preserve">للطلاب المحليين فقط.</t>
  </si>
  <si>
    <t xml:space="preserve">أيرلندا</t>
  </si>
  <si>
    <t xml:space="preserve">University of Limerick</t>
  </si>
  <si>
    <t xml:space="preserve">Prof. O'Shea</t>
  </si>
  <si>
    <t xml:space="preserve">منصب ما بعد الدكتوراه فقط.</t>
  </si>
  <si>
    <t xml:space="preserve">UCD</t>
  </si>
  <si>
    <t xml:space="preserve">لوكسمبورغ</t>
  </si>
  <si>
    <t xml:space="preserve">SnT</t>
  </si>
  <si>
    <t xml:space="preserve">UOL07942 – AI for Cybersecurity (Prof. Vincent Lenders)</t>
  </si>
  <si>
    <t xml:space="preserve">AI للأمن / بنى حرجة</t>
  </si>
  <si>
    <t xml:space="preserve">€41,976 سنويًا (إجمالي)</t>
  </si>
  <si>
    <t xml:space="preserve">غير مؤهل: يقبل EU/EEA/EFTA + حلفاء الناتو + شركاء الناتو الهندو-باسيفيك. تأكد أن تقديمك 'SnT/Lenders' لم يكن لهذا المنصب.</t>
  </si>
  <si>
    <t xml:space="preserve">Network Traffic Obfuscation (ID 243588 في Academic Positions)</t>
  </si>
  <si>
    <t xml:space="preserve">حركة الشبكة / تعتيم</t>
  </si>
  <si>
    <t xml:space="preserve">ماجستير أمن مطلوب، 36 شهرًا، لا قيد أهلية في الإعلان – يحتاج تحققًا مستقلًا.</t>
  </si>
  <si>
    <t xml:space="preserve">Doctoral Researcher – Human-Computer Interaction (كشف التصيد)</t>
  </si>
  <si>
    <t xml:space="preserve">AI + هندسة اجتماعية</t>
  </si>
  <si>
    <t xml:space="preserve">€44,531 سنويًا</t>
  </si>
  <si>
    <t xml:space="preserve">مقيَّد بنفس شروط الأهلية.</t>
  </si>
  <si>
    <t xml:space="preserve">Machine Learning Security &amp; Testing</t>
  </si>
  <si>
    <t xml:space="preserve">أمن ML</t>
  </si>
  <si>
    <t xml:space="preserve">Information Systems &amp; CS – Hybrid LLM + Knowledge Graphs</t>
  </si>
  <si>
    <t xml:space="preserve">LLM / أتمتة آمنة</t>
  </si>
  <si>
    <t xml:space="preserve">€43,445 سنويًا</t>
  </si>
  <si>
    <t xml:space="preserve">36–48 شهرًا</t>
  </si>
  <si>
    <t xml:space="preserve">تحقق إن كان مفتوحًا.</t>
  </si>
  <si>
    <t xml:space="preserve">PhD in Trustworthy World Models for Critical Systems</t>
  </si>
  <si>
    <t xml:space="preserve">نماذج عالم / متانة</t>
  </si>
  <si>
    <t xml:space="preserve">Univ. Luxembourg</t>
  </si>
  <si>
    <t xml:space="preserve">SEDAN</t>
  </si>
  <si>
    <t xml:space="preserve">TITAN و MORTAL</t>
  </si>
  <si>
    <t xml:space="preserve">مغلقتان/مستبعدتان.</t>
  </si>
  <si>
    <t xml:space="preserve">إستونيا</t>
  </si>
  <si>
    <t xml:space="preserve">University of Tartu</t>
  </si>
  <si>
    <t xml:space="preserve">Pfahl / Rahkema / Shah</t>
  </si>
  <si>
    <t xml:space="preserve">هندسة برمجيات / أمن</t>
  </si>
  <si>
    <t xml:space="preserve">تواصل 11.08.2026.</t>
  </si>
  <si>
    <t xml:space="preserve">البرتغال</t>
  </si>
  <si>
    <t xml:space="preserve">LASIGE – Univ. Lisboa</t>
  </si>
  <si>
    <t xml:space="preserve">Cogo</t>
  </si>
  <si>
    <t xml:space="preserve">مؤكد.</t>
  </si>
  <si>
    <t xml:space="preserve">بولندا</t>
  </si>
  <si>
    <t xml:space="preserve">AGH Krakow وغيرها</t>
  </si>
  <si>
    <t xml:space="preserve">مدارس دكتوراه 2026/27</t>
  </si>
  <si>
    <t xml:space="preserve">راجع ≈ فبراير 2027</t>
  </si>
  <si>
    <t xml:space="preserve">لا مشرف محدد؛ النوافذ أُغلقت.</t>
  </si>
  <si>
    <t xml:space="preserve">التشيك</t>
  </si>
  <si>
    <t xml:space="preserve">Masaryk University – CRoCS (Brno)</t>
  </si>
  <si>
    <t xml:space="preserve">Prof. Vashek Matyas</t>
  </si>
  <si>
    <t xml:space="preserve">تشفير / أمن</t>
  </si>
  <si>
    <t xml:space="preserve">تواصل مباشر</t>
  </si>
  <si>
    <t xml:space="preserve">صفحة الإعلانات قديمة؛ المجموعة تعمل بالتواصل المباشر.</t>
  </si>
  <si>
    <t xml:space="preserve">matyas@fi.muni.cz</t>
  </si>
  <si>
    <t xml:space="preserve">قبرص</t>
  </si>
  <si>
    <t xml:space="preserve">KIOS Research Center</t>
  </si>
  <si>
    <t xml:space="preserve">أمن / بنى حرجة</t>
  </si>
  <si>
    <t xml:space="preserve">تمت تغطيته مبكرًا؛ لا تفاصيل.</t>
  </si>
  <si>
    <t xml:space="preserve">أوروبا (غير محدد)</t>
  </si>
  <si>
    <t xml:space="preserve">EURAXESS</t>
  </si>
  <si>
    <t xml:space="preserve">أكثر من 1300 منصب دكتوراه ممول (إحصاء 13.08.2026) عبر MSCA/ERC/Horizon</t>
  </si>
  <si>
    <t xml:space="preserve">مصدر بحث مستمر.</t>
  </si>
  <si>
    <t xml:space="preserve">euraxess.ec.europa.eu</t>
  </si>
  <si>
    <t xml:space="preserve">مشروع صناعي أكاديمي أوروبي</t>
  </si>
  <si>
    <t xml:space="preserve">PhD ممول – GenAI آمن (FL + DP + ما بعد الكم)</t>
  </si>
  <si>
    <t xml:space="preserve">GenAI / تشفير</t>
  </si>
  <si>
    <t xml:space="preserve">الرابط والموعد غير محفوظين</t>
  </si>
  <si>
    <t xml:space="preserve">كُشف 11.08.2026 ولم يُحدَّد البلد.</t>
  </si>
  <si>
    <t xml:space="preserve">مشروع دفاعي أوروبي</t>
  </si>
  <si>
    <t xml:space="preserve">PhD ممول – خصوصية وأمن LLM (FL/DP/تشفير متماثل، red-blue teaming)</t>
  </si>
  <si>
    <t xml:space="preserve">LLM / خصوصية</t>
  </si>
  <si>
    <t xml:space="preserve">لم تُحدَّد الجهة.</t>
  </si>
  <si>
    <t xml:space="preserve">PhD ممول – أمن اتصالات (WireGuard, Tor) لشبكات متنقلة/غير أرضية</t>
  </si>
  <si>
    <t xml:space="preserve">أمن اتصالات</t>
  </si>
  <si>
    <t xml:space="preserve">PhD/Postdoc صيف 2026 – اختبار أمن وإدارة ثغرات للأنظمة المدمجة (fuzzing هجين/رمزي/AI)</t>
  </si>
  <si>
    <t xml:space="preserve">ثغرات / fuzzing</t>
  </si>
  <si>
    <t xml:space="preserve">سنة قابلة للتجديد</t>
  </si>
  <si>
    <t xml:space="preserve">صلة قوية بمحرك فحص SecuraX.</t>
  </si>
  <si>
    <t xml:space="preserve">SPRING Doctoral Network (MSCA)</t>
  </si>
  <si>
    <t xml:space="preserve">15 منصبًا – مرونة البنى الحرجة</t>
  </si>
  <si>
    <t xml:space="preserve">بنى حرجة</t>
  </si>
  <si>
    <t xml:space="preserve">كندا</t>
  </si>
  <si>
    <t xml:space="preserve">Carleton University (CyberSEA)</t>
  </si>
  <si>
    <t xml:space="preserve">Prof. Jaskolka – منصب ممول معلن</t>
  </si>
  <si>
    <t xml:space="preserve">أمن / تطابق شبه حرفي مع SecuraX/ARIA</t>
  </si>
  <si>
    <t xml:space="preserve">CV + Statement of Interest أُرسلا 17.08. خطاب جاهز. أحد أعلى 3 أولويات في كندا.</t>
  </si>
  <si>
    <t xml:space="preserve">Concordia University</t>
  </si>
  <si>
    <t xml:space="preserve">Debbabi / Majumdar / Yan (3 رسائل 16–17.08)</t>
  </si>
  <si>
    <t xml:space="preserve">أمن / ARC</t>
  </si>
  <si>
    <t xml:space="preserve">أحد أعلى 3 أولويات.</t>
  </si>
  <si>
    <t xml:space="preserve">Prof. Chadi Assi – 5G Security &amp; Threat Hunting</t>
  </si>
  <si>
    <t xml:space="preserve">أمن 5G / صيد تهديدات</t>
  </si>
  <si>
    <t xml:space="preserve">منصب ممول.</t>
  </si>
  <si>
    <t xml:space="preserve">chadi.assi@concordia.ca</t>
  </si>
  <si>
    <t xml:space="preserve">Prof. Mohammad Mannan</t>
  </si>
  <si>
    <t xml:space="preserve">لديه مناصب ممولة مفتوحة.</t>
  </si>
  <si>
    <t xml:space="preserve">Open Positions PhD/MASc Information Systems Security (Security Research Centre)</t>
  </si>
  <si>
    <t xml:space="preserve">أمن نظم المعلومات</t>
  </si>
  <si>
    <t xml:space="preserve">تحديث 06.08.2026</t>
  </si>
  <si>
    <t xml:space="preserve">إضافة: Fung / Youssef للتحقق.</t>
  </si>
  <si>
    <t xml:space="preserve">University of New Brunswick (UNB/CIC)</t>
  </si>
  <si>
    <t xml:space="preserve">Prof. Dadkhah – Fully Funded MSc/PhD</t>
  </si>
  <si>
    <t xml:space="preserve">ممولة بالكامل (حسب الإعلان)</t>
  </si>
  <si>
    <t xml:space="preserve">تناقض: وثيقة 23.08 تعتبره postdoc فقط. تحقق.</t>
  </si>
  <si>
    <t xml:space="preserve">UNB</t>
  </si>
  <si>
    <t xml:space="preserve">Prof. Hong Chen (Cisco Research Chair in IoT) – منصبان</t>
  </si>
  <si>
    <t xml:space="preserve">اتصالات دلالية / IoT / LLM</t>
  </si>
  <si>
    <t xml:space="preserve">Fall 2026 أو Winter 2027</t>
  </si>
  <si>
    <t xml:space="preserve">Razavi-Far, Hakak, Khoda Parast, Ghorbani, Mandal</t>
  </si>
  <si>
    <t xml:space="preserve">أمن / AI</t>
  </si>
  <si>
    <t xml:space="preserve">Mandal لم يُتواصل معه.</t>
  </si>
  <si>
    <t xml:space="preserve">University of Guelph</t>
  </si>
  <si>
    <t xml:space="preserve">AI Security Lab – Wenjing Zhang</t>
  </si>
  <si>
    <t xml:space="preserve">أمن AI</t>
  </si>
  <si>
    <t xml:space="preserve">قُدِّم/أُرسل. إعلان قديم لـ Dr. Ali Dehghan Tanha (01.09.2025) – لا تخلط.</t>
  </si>
  <si>
    <t xml:space="preserve">University of Calgary</t>
  </si>
  <si>
    <t xml:space="preserve">Rouhani (Winter 2027) و Mazmudar (أُعيد التواصل 17.08)</t>
  </si>
  <si>
    <t xml:space="preserve">TCDT مذكور في المسح الأول.</t>
  </si>
  <si>
    <t xml:space="preserve">University of Saskatchewan</t>
  </si>
  <si>
    <t xml:space="preserve">Prof. Stakhanova (CyberLab) – مباشر 16.08</t>
  </si>
  <si>
    <t xml:space="preserve">University of Ottawa</t>
  </si>
  <si>
    <t xml:space="preserve">Prof. Shirani; Prof. Jourdan (لم يُتواصل)</t>
  </si>
  <si>
    <t xml:space="preserve">York University</t>
  </si>
  <si>
    <t xml:space="preserve">Prof. Lashkari</t>
  </si>
  <si>
    <t xml:space="preserve">أمن / CIC</t>
  </si>
  <si>
    <t xml:space="preserve">University of Waterloo</t>
  </si>
  <si>
    <t xml:space="preserve">Meng Xu &amp; Sihang Liu – Securing LLM Agents Against Malicious Tools ($254,116)</t>
  </si>
  <si>
    <t xml:space="preserve">أمن وكلاء LLM</t>
  </si>
  <si>
    <t xml:space="preserve">C$29,145 سنويًا (4 سنوات) + RBC C$20,000</t>
  </si>
  <si>
    <t xml:space="preserve">كذلك Florian Kerschbaum. لم يُتواصل.</t>
  </si>
  <si>
    <t xml:space="preserve">University of British Columbia</t>
  </si>
  <si>
    <t xml:space="preserve">تمويل مضمون ≥ $40,000 سنويًا من خريف 2026</t>
  </si>
  <si>
    <t xml:space="preserve">≥ $40,000 سنويًا</t>
  </si>
  <si>
    <t xml:space="preserve">Université de Montréal</t>
  </si>
  <si>
    <t xml:space="preserve">Prof. Esma Aïmeur</t>
  </si>
  <si>
    <t xml:space="preserve">AI / أمن / خصوصية</t>
  </si>
  <si>
    <t xml:space="preserve">تمويل مضمون</t>
  </si>
  <si>
    <t xml:space="preserve">Polytechnique Montréal</t>
  </si>
  <si>
    <t xml:space="preserve">Khomh؛ Cuppens؛ Fernandez؛ برنامج Impact+ Canada</t>
  </si>
  <si>
    <t xml:space="preserve">أمن / AI / كمي</t>
  </si>
  <si>
    <t xml:space="preserve">Fernandez لم يُتواصل.</t>
  </si>
  <si>
    <t xml:space="preserve">University of Toronto</t>
  </si>
  <si>
    <t xml:space="preserve">Prof. Papernot – CS PhD Fall 2027</t>
  </si>
  <si>
    <t xml:space="preserve">يفتح في أكتوبر 2026</t>
  </si>
  <si>
    <t xml:space="preserve">University of Victoria</t>
  </si>
  <si>
    <t xml:space="preserve">Prof. Traoré</t>
  </si>
  <si>
    <t xml:space="preserve">لم يُتواصل.</t>
  </si>
  <si>
    <t xml:space="preserve">Queen's University</t>
  </si>
  <si>
    <t xml:space="preserve">Zulkernine / Ni</t>
  </si>
  <si>
    <t xml:space="preserve">NSERC CREATE Queen's/RMC استبعد (ينتهي يونيو 2026).</t>
  </si>
  <si>
    <t xml:space="preserve">McGill University</t>
  </si>
  <si>
    <t xml:space="preserve">Prof. Benjamin Fung</t>
  </si>
  <si>
    <t xml:space="preserve">Ontario Tech</t>
  </si>
  <si>
    <t xml:space="preserve">Li Yang، Heydari، El-Khatib</t>
  </si>
  <si>
    <t xml:space="preserve">Toronto Metropolitan University (TMU)</t>
  </si>
  <si>
    <t xml:space="preserve">Prof. Ali Miri</t>
  </si>
  <si>
    <t xml:space="preserve">أمن / تشفير</t>
  </si>
  <si>
    <t xml:space="preserve">Dalhousie University</t>
  </si>
  <si>
    <t xml:space="preserve">Sampalli؛ Dalhousie CREATE</t>
  </si>
  <si>
    <t xml:space="preserve">Western University</t>
  </si>
  <si>
    <t xml:space="preserve">Lu / Haque</t>
  </si>
  <si>
    <t xml:space="preserve">للتحقق.</t>
  </si>
  <si>
    <t xml:space="preserve">University of Regina – DCAILab</t>
  </si>
  <si>
    <t xml:space="preserve">Agentic AI Security – Fall 2026</t>
  </si>
  <si>
    <t xml:space="preserve">أمن وكلاء AI</t>
  </si>
  <si>
    <t xml:space="preserve">ÉTS / Windsor / Manitoba / Alberta / UQO</t>
  </si>
  <si>
    <t xml:space="preserve">ÉTS (Sayagh)؛ Windsor؛ Alberta (C$40,000/سنة)؛ UQO (Cyber Threat Intelligence)</t>
  </si>
  <si>
    <t xml:space="preserve">Alberta: C$40,000 سنويًا</t>
  </si>
  <si>
    <t xml:space="preserve">University of Manitoba استبعدت.</t>
  </si>
  <si>
    <t xml:space="preserve">برامج وطنية</t>
  </si>
  <si>
    <t xml:space="preserve">CIRTA – C$40,000 سنويًا × 3 سنوات (أولوية الأمن السيبراني)</t>
  </si>
  <si>
    <t xml:space="preserve">C$40,000 سنويًا</t>
  </si>
  <si>
    <t xml:space="preserve">تحقق من الأهلية.</t>
  </si>
  <si>
    <t xml:space="preserve">Mitacs / Vanier / UMGF</t>
  </si>
  <si>
    <t xml:space="preserve">Vanier وUMGF غير منطبقتين حاليًا.</t>
  </si>
  <si>
    <t xml:space="preserve">أمريكا</t>
  </si>
  <si>
    <t xml:space="preserve">University of Rhode Island</t>
  </si>
  <si>
    <t xml:space="preserve">Hui Lin</t>
  </si>
  <si>
    <t xml:space="preserve">TCU</t>
  </si>
  <si>
    <t xml:space="preserve">Afia Anjum</t>
  </si>
  <si>
    <t xml:space="preserve">أُرسل.</t>
  </si>
  <si>
    <t xml:space="preserve">UC Irvine</t>
  </si>
  <si>
    <t xml:space="preserve">Alfred Chen</t>
  </si>
  <si>
    <t xml:space="preserve">أمن مركبات / AI</t>
  </si>
  <si>
    <t xml:space="preserve">Indiana University</t>
  </si>
  <si>
    <t xml:space="preserve">Hyungsub Kim</t>
  </si>
  <si>
    <t xml:space="preserve">ملاءمة ضعيفة.</t>
  </si>
  <si>
    <t xml:space="preserve">Idaho / VCU / MTSU</t>
  </si>
  <si>
    <t xml:space="preserve">غير موثوقة.</t>
  </si>
  <si>
    <t xml:space="preserve">كوريا الجنوبية</t>
  </si>
  <si>
    <t xml:space="preserve">KAIST – NetS&amp;P Lab</t>
  </si>
  <si>
    <t xml:space="preserve">Prof. Min Suk Kang</t>
  </si>
  <si>
    <t xml:space="preserve">أمن شبكات / خصوصية</t>
  </si>
  <si>
    <t xml:space="preserve">بريد + CV أُرسلا 15.08.2026.</t>
  </si>
  <si>
    <t xml:space="preserve">KAIST</t>
  </si>
  <si>
    <t xml:space="preserve">Prof. Seungwon Shin</t>
  </si>
  <si>
    <t xml:space="preserve">أمن شبكات / SDN</t>
  </si>
  <si>
    <t xml:space="preserve">KAIST / POSTECH / UNIST / GIST / DGIST</t>
  </si>
  <si>
    <t xml:space="preserve">تمويل تلقائي</t>
  </si>
  <si>
    <t xml:space="preserve">أغسطس–أكتوبر 2026</t>
  </si>
  <si>
    <t xml:space="preserve">تحقق من التواريخ الدقيقة.</t>
  </si>
  <si>
    <t xml:space="preserve">KAIST Cyber Security Research Center</t>
  </si>
  <si>
    <t xml:space="preserve">AI/XAI cybersecurity وأمن روبوتات AI</t>
  </si>
  <si>
    <t xml:space="preserve">Sejong University / Ajou University</t>
  </si>
  <si>
    <t xml:space="preserve">دكتوراه ممولة</t>
  </si>
  <si>
    <t xml:space="preserve">GKS (حكومة كوريا)</t>
  </si>
  <si>
    <t xml:space="preserve">فبراير–أبريل 2027</t>
  </si>
  <si>
    <t xml:space="preserve">هونغ كونغ</t>
  </si>
  <si>
    <t xml:space="preserve">HKUST – HKPFS</t>
  </si>
  <si>
    <t xml:space="preserve">Prof. Daoyuan Wu (المرشح المستهدف)</t>
  </si>
  <si>
    <t xml:space="preserve">أمن AI / عقود ذكية</t>
  </si>
  <si>
    <t xml:space="preserve">منحة كاملة لكل الجنسيات</t>
  </si>
  <si>
    <t xml:space="preserve">تفتح 01.09.2026</t>
  </si>
  <si>
    <t xml:space="preserve">مرشح مستهدف لا تواصل مسجل.</t>
  </si>
  <si>
    <t xml:space="preserve">CUHK</t>
  </si>
  <si>
    <t xml:space="preserve">Security of AI/Agentic Systems – Fall 2026</t>
  </si>
  <si>
    <t xml:space="preserve">PolyU</t>
  </si>
  <si>
    <t xml:space="preserve">PhD/MPhil Computing (AI/blockchain/cybersecurity/networks)</t>
  </si>
  <si>
    <t xml:space="preserve">حوسبة</t>
  </si>
  <si>
    <t xml:space="preserve">سنغافورة</t>
  </si>
  <si>
    <t xml:space="preserve">SINGA</t>
  </si>
  <si>
    <t xml:space="preserve">Dr. Wei Zhang (SIT)</t>
  </si>
  <si>
    <t xml:space="preserve">تفتح يونيو، تغلق ديسمبر 2026 (دفعة أغسطس 2027)</t>
  </si>
  <si>
    <t xml:space="preserve">A*STAR</t>
  </si>
  <si>
    <t xml:space="preserve">ACIS (S$4,550 شهريًا، حتى 4 سنوات) و AGS</t>
  </si>
  <si>
    <t xml:space="preserve">S$4,550 شهريًا</t>
  </si>
  <si>
    <t xml:space="preserve">NTU / NUS / SUTD</t>
  </si>
  <si>
    <t xml:space="preserve">NTU SG Digital Scholarship (+CSA)؛ NTU Digital Trust Centre؛ NUS (جلسة 26.08.2026)؛ SUTD</t>
  </si>
  <si>
    <t xml:space="preserve">ثقة رقمية</t>
  </si>
  <si>
    <t xml:space="preserve">تايوان</t>
  </si>
  <si>
    <t xml:space="preserve">TIGP</t>
  </si>
  <si>
    <t xml:space="preserve">راقب 2027.</t>
  </si>
  <si>
    <t xml:space="preserve">TaiwanICDF / منح عامة</t>
  </si>
  <si>
    <t xml:space="preserve">International Higher Education Scholarship</t>
  </si>
  <si>
    <t xml:space="preserve">المشرف لم يُحدَّد.</t>
  </si>
  <si>
    <t xml:space="preserve">الصين</t>
  </si>
  <si>
    <t xml:space="preserve">Xidian University</t>
  </si>
  <si>
    <t xml:space="preserve">CSC 2027/28 (التأجيل الطوعي)</t>
  </si>
  <si>
    <t xml:space="preserve">ديسمبر 2026</t>
  </si>
  <si>
    <t xml:space="preserve">المسار الأقوى.</t>
  </si>
  <si>
    <t xml:space="preserve">SJTU / Dongguan UT (+ Edinburgh Napier) / XJTLU</t>
  </si>
  <si>
    <t xml:space="preserve">أمن الفضاء السيبراني؛ أمن المركبات</t>
  </si>
  <si>
    <t xml:space="preserve">CSC Type B ومنح جامعية بعد ديسمبر 2026.</t>
  </si>
  <si>
    <t xml:space="preserve">اليابان</t>
  </si>
  <si>
    <t xml:space="preserve">MEXT</t>
  </si>
  <si>
    <t xml:space="preserve">المنحة الحكومية للدكتوراه</t>
  </si>
  <si>
    <t xml:space="preserve">¥145,000 شهريًا</t>
  </si>
  <si>
    <t xml:space="preserve">أبريل–مايو 2027</t>
  </si>
  <si>
    <t xml:space="preserve">تركيا</t>
  </si>
  <si>
    <t xml:space="preserve">Türkiye Bursları</t>
  </si>
  <si>
    <t xml:space="preserve">منتصف يناير–فبراير 2027</t>
  </si>
  <si>
    <t xml:space="preserve">السعودية</t>
  </si>
  <si>
    <t xml:space="preserve">KAUST</t>
  </si>
  <si>
    <t xml:space="preserve">قبول ربيع 2027 – الجولة 1: 27.09.2026؛ الجولة 2: 28.09.2026–03.01.2027</t>
  </si>
  <si>
    <t xml:space="preserve">علوم حاسوب / أمن</t>
  </si>
  <si>
    <t xml:space="preserve">منحة كاملة</t>
  </si>
  <si>
    <t xml:space="preserve">الجولة 2 مفتوحة</t>
  </si>
  <si>
    <t xml:space="preserve">الجولة 2 ما زالت ممكنة.</t>
  </si>
  <si>
    <t xml:space="preserve">الإمارات</t>
  </si>
  <si>
    <t xml:space="preserve">NYU Abu Dhabi</t>
  </si>
  <si>
    <t xml:space="preserve">دكتوراه ممولة – أمن/خصوصية</t>
  </si>
  <si>
    <t xml:space="preserve">MBZUAI</t>
  </si>
  <si>
    <t xml:space="preserve">ML/CV/NLP</t>
  </si>
  <si>
    <t xml:space="preserve">لا مسار أمن سيبراني معلن.</t>
  </si>
  <si>
    <t xml:space="preserve">أستراليا</t>
  </si>
  <si>
    <t xml:space="preserve">CSIRO</t>
  </si>
  <si>
    <t xml:space="preserve">≈ A$48,000 + David Irvine</t>
  </si>
  <si>
    <t xml:space="preserve">للمحليين فقط.</t>
  </si>
  <si>
    <t xml:space="preserve">ANU / CSU / RMIT</t>
  </si>
  <si>
    <t xml:space="preserve">أمن (طائرات، أمن محوره الإنسان)</t>
  </si>
  <si>
    <t xml:space="preserve">التاريخ</t>
  </si>
  <si>
    <t xml:space="preserve">الجهة / الأستاذ</t>
  </si>
  <si>
    <t xml:space="preserve">الإجراء</t>
  </si>
  <si>
    <t xml:space="preserve">الحالة / الخطوة التالية</t>
  </si>
  <si>
    <t xml:space="preserve">KU Leuven – Naessens</t>
  </si>
  <si>
    <t xml:space="preserve">إرسال قبل الموعد بدقائق</t>
  </si>
  <si>
    <t xml:space="preserve">بانتظار الرد</t>
  </si>
  <si>
    <t xml:space="preserve">KU Leuven DistriNet – Singelée</t>
  </si>
  <si>
    <t xml:space="preserve">تقديم على Physical-layer security</t>
  </si>
  <si>
    <t xml:space="preserve">بانتظار الرد (تاريخ غير مسجل)</t>
  </si>
  <si>
    <t xml:space="preserve">تواصل</t>
  </si>
  <si>
    <t xml:space="preserve">الجزائر</t>
  </si>
  <si>
    <t xml:space="preserve">Noureddine Amraoui</t>
  </si>
  <si>
    <t xml:space="preserve">خطاب عام من المرجع</t>
  </si>
  <si>
    <t xml:space="preserve">جاهز للاستخدام</t>
  </si>
  <si>
    <t xml:space="preserve">Elena Ferrari – Insubria</t>
  </si>
  <si>
    <t xml:space="preserve">تأكيد التوفر والمشروع</t>
  </si>
  <si>
    <t xml:space="preserve">تابع مشكلة PICA</t>
  </si>
  <si>
    <t xml:space="preserve">تقديم</t>
  </si>
  <si>
    <t xml:space="preserve">KTH – Papadimitratos</t>
  </si>
  <si>
    <t xml:space="preserve">الموعد 23.09.2026</t>
  </si>
  <si>
    <t xml:space="preserve">HPI Potsdam – KriKom-LK-MEI وReDiKom</t>
  </si>
  <si>
    <t xml:space="preserve">إرسال</t>
  </si>
  <si>
    <t xml:space="preserve">Tartu – Pfahl / Rahkema / Shah</t>
  </si>
  <si>
    <t xml:space="preserve">CYD Fellowship (EPFL)</t>
  </si>
  <si>
    <t xml:space="preserve">الخطوة 1 – ID CYD2002461</t>
  </si>
  <si>
    <t xml:space="preserve">خطاب Saoudi وصل 14.08 20:22؛ خطاب دعم سويسري مطلوب قبل 01.10</t>
  </si>
  <si>
    <t xml:space="preserve">KAIST – Min Suk Kang</t>
  </si>
  <si>
    <t xml:space="preserve">بريد + CV</t>
  </si>
  <si>
    <t xml:space="preserve">Concordia (Debbabi, Majumdar, Yan)</t>
  </si>
  <si>
    <t xml:space="preserve">3 رسائل (16–17.08)</t>
  </si>
  <si>
    <t xml:space="preserve">Saskatchewan – Stakhanova</t>
  </si>
  <si>
    <t xml:space="preserve">Calgary – Mazmudar</t>
  </si>
  <si>
    <t xml:space="preserve">إعادة تواصل</t>
  </si>
  <si>
    <t xml:space="preserve">Carleton – Jaskolka</t>
  </si>
  <si>
    <t xml:space="preserve">CV + Statement of Interest</t>
  </si>
  <si>
    <t xml:space="preserve">EPFL – CYD</t>
  </si>
  <si>
    <t xml:space="preserve">تسليم شهادات وكشوف إضافية</t>
  </si>
  <si>
    <t xml:space="preserve">استلام مؤكد</t>
  </si>
  <si>
    <t xml:space="preserve">Prof. Barbara Carminati</t>
  </si>
  <si>
    <t xml:space="preserve">أكدت إبلاغ إدارة IMT بمشكلة PICA</t>
  </si>
  <si>
    <t xml:space="preserve">قرار 28.08</t>
  </si>
  <si>
    <t xml:space="preserve">Giacinto (Cagliari) وMartinelli (CNR-ICAR)</t>
  </si>
  <si>
    <t xml:space="preserve">تقديمات احتياطية</t>
  </si>
  <si>
    <t xml:space="preserve">Giacinto: رد آلي، عودة 24.08</t>
  </si>
  <si>
    <t xml:space="preserve">Riccio – #25</t>
  </si>
  <si>
    <t xml:space="preserve">ردّ إيجابي؛ أُرسلت الأطروحة والسيرة والكشوف</t>
  </si>
  <si>
    <t xml:space="preserve">تحقق من الهوية</t>
  </si>
  <si>
    <t xml:space="preserve">Holz وRossow</t>
  </si>
  <si>
    <t xml:space="preserve">اعتذرا</t>
  </si>
  <si>
    <t xml:space="preserve">بريطانيا/أمريكا/أخرى</t>
  </si>
  <si>
    <t xml:space="preserve">Lancaster؛ Rhode Island؛ TCU؛ Guelph؛ LASIGE؛ SEDAN</t>
  </si>
  <si>
    <t xml:space="preserve">تقديم/تواصل حسب وثيقة المساعد الثاني</t>
  </si>
  <si>
    <t xml:space="preserve">الجهة</t>
  </si>
  <si>
    <t xml:space="preserve">المطلوب</t>
  </si>
  <si>
    <t xml:space="preserve">CYD Fellowship</t>
  </si>
  <si>
    <t xml:space="preserve">خطاب الدعم من أستاذ سويسري (فات الموعد؟) – تحقق من النتيجة والخطوة 2</t>
  </si>
  <si>
    <t xml:space="preserve">Toronto – Papernot</t>
  </si>
  <si>
    <t xml:space="preserve">فتح قبول CS PhD Fall 2027 (أكتوبر)</t>
  </si>
  <si>
    <t xml:space="preserve">HKPFS – Daoyuan Wu</t>
  </si>
  <si>
    <t xml:space="preserve">CSC – Xidian</t>
  </si>
  <si>
    <t xml:space="preserve">فتح/إغلاق CSC 2027/28 (ديسمبر)</t>
  </si>
  <si>
    <t xml:space="preserve">SINGA – Wei Zhang (SIT)</t>
  </si>
  <si>
    <t xml:space="preserve">إغلاق التقديم (ديسمبر 2026)</t>
  </si>
  <si>
    <t xml:space="preserve">نهاية الجولة 2 لقبول ربيع 2027</t>
  </si>
  <si>
    <t xml:space="preserve">افتتاح النافذة (منتصف يناير–فبراير)</t>
  </si>
  <si>
    <t xml:space="preserve">مدارس الدكتوراه</t>
  </si>
  <si>
    <t xml:space="preserve">إعادة التحقق عند الدورة القادمة</t>
  </si>
  <si>
    <t xml:space="preserve">GKS</t>
  </si>
  <si>
    <t xml:space="preserve">ملاحظة: بنود أخرى بلا تاريخ محفوظ (Swiss Government، KU Leuven/imec، مؤسسات كوريا الخمس، CIRTA) تجدها في ورقة 'كل الفرص' بحالة قيد التحقق/نافذة مستقبلية.</t>
  </si>
  <si>
    <t xml:space="preserve">الموضوع</t>
  </si>
  <si>
    <t xml:space="preserve">ما تقوله المصادر</t>
  </si>
  <si>
    <t xml:space="preserve">لوكسمبورغ/SnT – Lenders</t>
  </si>
  <si>
    <t xml:space="preserve">UOL07942 هو نفسه المنصب المستبعد 15.08 (غير مؤهل). تقديم 23.08 باسم 'SnT/Lenders (ID 243588)' ربما خلط بين مرجعين؛ 243588 = Network Traffic Obfuscation (منصب مختلف).</t>
  </si>
  <si>
    <t xml:space="preserve">اعرف أي منصب قدّمت عليه فعلاً، وتحقق من أهلية 243588.</t>
  </si>
  <si>
    <t xml:space="preserve">كندا/UNB – Dadkhah</t>
  </si>
  <si>
    <t xml:space="preserve">16.08: أولوية عليا بإعلان Fully Funded MSc/PhD. 23.08: 'postdoc فقط'.</t>
  </si>
  <si>
    <t xml:space="preserve">افتح الإعلان الأصلي وتحقق.</t>
  </si>
  <si>
    <t xml:space="preserve">ألمانيا/CISPA SprintML</t>
  </si>
  <si>
    <t xml:space="preserve">'صالح حتى 15.08': إما انتهى الموعد أو تم التحقق في ذلك اليوم. لم يُقدَّم في الحالتين.</t>
  </si>
  <si>
    <t xml:space="preserve">تحقق مباشرة من الصفحة الرسمية (يفترض rolling).</t>
  </si>
  <si>
    <t xml:space="preserve">إيطاليا – Riccio (#25)</t>
  </si>
  <si>
    <t xml:space="preserve">ردّ إيجابيًا لكنه ليس في Scientific Board؛ ممثل Udine هو Foresti؛ Daniel Riccio في نابولي.</t>
  </si>
  <si>
    <t xml:space="preserve">تأكد من هويته وجامعته قبل الاعتماد.</t>
  </si>
  <si>
    <t xml:space="preserve">إيطاليا – مشروع Ferrari في PICA</t>
  </si>
  <si>
    <t xml:space="preserve">المشروع لا يظهر في القائمة؛ القرار حُدد 28.08.</t>
  </si>
  <si>
    <t xml:space="preserve">تأكد ما الذي قُدِّم نهائيًا قبل 31.08.</t>
  </si>
  <si>
    <t xml:space="preserve">الدنمارك/Aalborg AI:DEFENCE</t>
  </si>
  <si>
    <t xml:space="preserve">تواريخ متضاربة: 31.08 عند مجمّعات، 'expired' عند آخر، والإعلان الرسمي 17.02 اختفى.</t>
  </si>
  <si>
    <t xml:space="preserve">راسل Bjerva مباشرة.</t>
  </si>
  <si>
    <t xml:space="preserve">الدنمارك/Secure Embedded AI</t>
  </si>
  <si>
    <t xml:space="preserve">الموعد 11.08.2026 ولم يُؤكَّد الإرسال.</t>
  </si>
  <si>
    <t xml:space="preserve">على الأرجح فات.</t>
  </si>
  <si>
    <t xml:space="preserve">السويد/KTH</t>
  </si>
  <si>
    <t xml:space="preserve">23.09 (مؤكد من Academic Positions) مقابل 30.09 (مصدر آخر).</t>
  </si>
  <si>
    <t xml:space="preserve">حُسم: 23.09.</t>
  </si>
  <si>
    <t xml:space="preserve">ألمانيا/Posegga</t>
  </si>
  <si>
    <t xml:space="preserve">بانتظار الرد؛ وثيقة خارجية توحي برفض/تقاعد.</t>
  </si>
  <si>
    <t xml:space="preserve">غير مؤكد.</t>
  </si>
  <si>
    <t xml:space="preserve">حالة التقديم النهائية</t>
  </si>
  <si>
    <t xml:space="preserve">لا تأكيد لتقديم Turku (16.09)، Inria (31.08/30.09)، DAAD (31.08)، IMT Lucca (31.08)، HPI Chuengsatiansup (20.09).</t>
  </si>
  <si>
    <t xml:space="preserve">أكّد ما أُرسل فعلاً لتحديث الحالات.</t>
  </si>
  <si>
    <t xml:space="preserve">ملف 'خطة العمل الفورية'</t>
  </si>
  <si>
    <t xml:space="preserve">ذكره المساعد الثاني ولم أتعرف عليه كملفي.</t>
  </si>
  <si>
    <t xml:space="preserve">ارفعه إن أردت دمجه.</t>
  </si>
  <si>
    <t xml:space="preserve">Guelph</t>
  </si>
  <si>
    <t xml:space="preserve">إعلان قديم Dr. Ali Dehghan Tanha (01.09.2025) يتعايش مع AI Security Lab النشط.</t>
  </si>
  <si>
    <t xml:space="preserve">لا تخلط بينهما.</t>
  </si>
  <si>
    <t xml:space="preserve">الدولة</t>
  </si>
  <si>
    <t xml:space="preserve">عدد الصفوف</t>
  </si>
  <si>
    <t xml:space="preserve">صفوف تم التقديم/التواصل فيها</t>
  </si>
  <si>
    <t xml:space="preserve">ملاحظة</t>
  </si>
  <si>
    <t xml:space="preserve">فرص لم تُحدَّد جهتها بدقة بعد.</t>
  </si>
  <si>
    <t xml:space="preserve">ملف مستقل أيضًا: canada_phd_master_sheet.xlsx (ورقتان).</t>
  </si>
  <si>
    <t xml:space="preserve">الملف الأكاديمي</t>
  </si>
  <si>
    <t xml:space="preserve">التخصص</t>
  </si>
  <si>
    <t xml:space="preserve">Network Information Communication Technologies (NICT) – ماجستير</t>
  </si>
  <si>
    <t xml:space="preserve">الجامعة</t>
  </si>
  <si>
    <t xml:space="preserve">جامعة محمد بوضياف – المسيلة، دفعة 2024-2026</t>
  </si>
  <si>
    <t xml:space="preserve">الترتيب</t>
  </si>
  <si>
    <t xml:space="preserve">الثالث من 55</t>
  </si>
  <si>
    <t xml:space="preserve">المعدل العام</t>
  </si>
  <si>
    <t xml:space="preserve">13.38/20 (السنة الأخيرة 14.72/20 – 120 رصيدًا)</t>
  </si>
  <si>
    <t xml:space="preserve">تاريخ التخرج</t>
  </si>
  <si>
    <t xml:space="preserve">18.06.2026</t>
  </si>
  <si>
    <t xml:space="preserve">المشروع</t>
  </si>
  <si>
    <t xml:space="preserve">SecuraX HexaGuard (فحص ثغرات) – صممته أنت</t>
  </si>
  <si>
    <t xml:space="preserve">الاهتمام البحثي</t>
  </si>
  <si>
    <t xml:space="preserve">أمن الذكاء الاصطناعي (adversarial/robustness) + شبكات وأمن بيانات (malware, privacy)</t>
  </si>
  <si>
    <t xml:space="preserve">الهدف</t>
  </si>
  <si>
    <t xml:space="preserve">أي منحة دكتوراه ممولة في الأمن السيبراني – أعلى فرصة قبول (بغض النظر عن التخصص الفرعي أو البلد)</t>
  </si>
  <si>
    <t xml:space="preserve">المرجعون الأكاديميون</t>
  </si>
  <si>
    <t xml:space="preserve">Akhrouf Samir</t>
  </si>
  <si>
    <t xml:space="preserve">samir.akhrouf@univ-msila.dz</t>
  </si>
  <si>
    <t xml:space="preserve">Lalia Saoudi</t>
  </si>
  <si>
    <t xml:space="preserve">lalia.saoudi@univ-msila.dz</t>
  </si>
  <si>
    <t xml:space="preserve">خطاب CYD وصل 14.08</t>
  </si>
  <si>
    <t xml:space="preserve">noureddine.amraoui@univ-msila.dz</t>
  </si>
  <si>
    <t xml:space="preserve">خطاب عام 02.08.2026</t>
  </si>
  <si>
    <t xml:space="preserve">Ezzeddine Attir</t>
  </si>
  <si>
    <t xml:space="preserve">azedine.attir@univ-msila.dz</t>
  </si>
  <si>
    <t xml:space="preserve">مرجع CYD</t>
  </si>
  <si>
    <t xml:space="preserve">Wafa Bouras</t>
  </si>
  <si>
    <t xml:space="preserve">wafa.bouras@univ-msila.dz</t>
  </si>
  <si>
    <t xml:space="preserve">جهات تواصل رسمية محفوظة</t>
  </si>
  <si>
    <t xml:space="preserve">IMT Lucca – طلبات القبول</t>
  </si>
  <si>
    <t xml:space="preserve">phdapplications@imtlucca.it</t>
  </si>
  <si>
    <t xml:space="preserve">Masaryk CRoCS</t>
  </si>
  <si>
    <t xml:space="preserve">Vashek Matyas</t>
  </si>
  <si>
    <t xml:space="preserve">Aalborg – Bjerva</t>
  </si>
  <si>
    <t xml:space="preserve">IMT Lucca – Galletta</t>
  </si>
  <si>
    <t xml:space="preserve">Concordia – Chadi Assi</t>
  </si>
  <si>
    <t xml:space="preserve">الملف / الوثيقة</t>
  </si>
  <si>
    <t xml:space="preserve">الجهة المستهدفة</t>
  </si>
  <si>
    <t xml:space="preserve">الحالة</t>
  </si>
  <si>
    <t xml:space="preserve">research_proposal.md</t>
  </si>
  <si>
    <t xml:space="preserve">جاهز</t>
  </si>
  <si>
    <t xml:space="preserve">cispa_research_statement.md</t>
  </si>
  <si>
    <t xml:space="preserve">CISPA – Ali Abbasi</t>
  </si>
  <si>
    <t xml:space="preserve">جاهز / أُرسل</t>
  </si>
  <si>
    <t xml:space="preserve">Motivation_Letter_Ferrari_IMTLucca_v3.docx</t>
  </si>
  <si>
    <t xml:space="preserve">IMT Lucca – Ferrari</t>
  </si>
  <si>
    <t xml:space="preserve">جاهز (v3)</t>
  </si>
  <si>
    <t xml:space="preserve">خطاب Turku</t>
  </si>
  <si>
    <t xml:space="preserve">Univ. of Turku</t>
  </si>
  <si>
    <t xml:space="preserve">خطاب KAIST</t>
  </si>
  <si>
    <t xml:space="preserve">أُرسل</t>
  </si>
  <si>
    <t xml:space="preserve">خطاب IMT Lucca</t>
  </si>
  <si>
    <t xml:space="preserve">خطاب CYD</t>
  </si>
  <si>
    <t xml:space="preserve">CYD / EPFL</t>
  </si>
  <si>
    <t xml:space="preserve">خطاب IMDEA</t>
  </si>
  <si>
    <t xml:space="preserve">خطاب KU Leuven</t>
  </si>
  <si>
    <t xml:space="preserve">خطاب KTH + تقرير HexaGuard التقني</t>
  </si>
  <si>
    <t xml:space="preserve">خطاب HPI</t>
  </si>
  <si>
    <t xml:space="preserve">فيش كندا (صفحتان)</t>
  </si>
  <si>
    <t xml:space="preserve">5 ملفات PDF لتحضير المقابلات</t>
  </si>
  <si>
    <t xml:space="preserve">جاهزة</t>
  </si>
  <si>
    <t xml:space="preserve">CV – نسخة عامة + نسخة متخصصة (توزيع محدود)</t>
  </si>
  <si>
    <t xml:space="preserve">مسح فرص دكتوراه.xlsx</t>
  </si>
  <si>
    <t xml:space="preserve">ملف عام قديم (15–16.08)</t>
  </si>
  <si>
    <t xml:space="preserve">استُبدل بهذا الملف</t>
  </si>
  <si>
    <t xml:space="preserve">كندا - تنقيب عميق 16.08 (شيت داخل المسح)</t>
  </si>
  <si>
    <t xml:space="preserve">مدمج هنا</t>
  </si>
  <si>
    <t xml:space="preserve">canada_phd_master_sheet.xlsx (ورقتان: مشرفون/منح)</t>
  </si>
  <si>
    <t xml:space="preserve">ملف مستقل</t>
  </si>
  <si>
    <t xml:space="preserve">خريطة_المنح_والاساتذة_المانيا.xlsx</t>
  </si>
  <si>
    <t xml:space="preserve">ألمانيا (المساعد الثاني)</t>
  </si>
  <si>
    <t xml:space="preserve">ملف خارجي</t>
  </si>
  <si>
    <t xml:space="preserve">خريطة_عالمية_المنح_والفرص.xlsx (+25 فرصة خارجية)</t>
  </si>
  <si>
    <t xml:space="preserve">عالمي (المساعد الثاني)</t>
  </si>
  <si>
    <t xml:space="preserve">خطة العمل الفورية</t>
  </si>
  <si>
    <t xml:space="preserve">غير معروف المصدر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</si>
</sst>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>
          <bgColor rgb="FFF4B084"/>
        </patternFill>
      </fill>
    </dxf>
    <dxf>
      <fill>
        <patternFill>
          <bgColor rgb="FFF8CBAD"/>
        </patternFill>
      </fill>
    </dxf>
    <dxf>
      <fill>
        <patternFill>
          <bgColor rgb="FFFF9999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4B08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FCE4D6"/>
      <rgbColor rgb="FFFF9999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f aca="true">TODAY()</f>
        <v>46302</v>
      </c>
    </row>
    <row r="3" customFormat="false" ht="15" hidden="false" customHeight="false" outlineLevel="0" collapsed="false">
      <c r="A3" s="2" t="s">
        <v>2</v>
      </c>
      <c r="B3" s="4" t="n">
        <f aca="false">COUNTA('كل الفرص'!B5:B400)</f>
        <v>151</v>
      </c>
    </row>
    <row r="5" customFormat="false" ht="15" hidden="false" customHeight="false" outlineLevel="0" collapsed="false">
      <c r="A5" s="5" t="s">
        <v>3</v>
      </c>
      <c r="B5" s="6" t="s">
        <v>4</v>
      </c>
      <c r="C5" s="7" t="s">
        <v>5</v>
      </c>
    </row>
    <row r="6" customFormat="false" ht="15" hidden="false" customHeight="false" outlineLevel="0" collapsed="false">
      <c r="A6" s="8" t="s">
        <v>6</v>
      </c>
      <c r="B6" s="9" t="n">
        <f aca="false">COUNTIF('كل الفرص'!$K$5:$K$400,A6)</f>
        <v>11</v>
      </c>
      <c r="C6" s="10" t="s">
        <v>7</v>
      </c>
    </row>
    <row r="7" customFormat="false" ht="15" hidden="false" customHeight="false" outlineLevel="0" collapsed="false">
      <c r="A7" s="8" t="s">
        <v>8</v>
      </c>
      <c r="B7" s="9" t="n">
        <f aca="false">COUNTIF('كل الفرص'!$K$5:$K$400,A7)</f>
        <v>18</v>
      </c>
      <c r="C7" s="10" t="s">
        <v>9</v>
      </c>
    </row>
    <row r="8" customFormat="false" ht="15" hidden="false" customHeight="false" outlineLevel="0" collapsed="false">
      <c r="A8" s="8" t="s">
        <v>10</v>
      </c>
      <c r="B8" s="9" t="n">
        <f aca="false">COUNTIF('كل الفرص'!$K$5:$K$400,A8)</f>
        <v>2</v>
      </c>
      <c r="C8" s="10" t="s">
        <v>11</v>
      </c>
    </row>
    <row r="9" customFormat="false" ht="15" hidden="false" customHeight="false" outlineLevel="0" collapsed="false">
      <c r="A9" s="8" t="s">
        <v>12</v>
      </c>
      <c r="B9" s="9" t="n">
        <f aca="false">COUNTIF('كل الفرص'!$K$5:$K$400,A9)</f>
        <v>43</v>
      </c>
      <c r="C9" s="10" t="s">
        <v>13</v>
      </c>
    </row>
    <row r="10" customFormat="false" ht="15" hidden="false" customHeight="false" outlineLevel="0" collapsed="false">
      <c r="A10" s="8" t="s">
        <v>14</v>
      </c>
      <c r="B10" s="9" t="n">
        <f aca="false">COUNTIF('كل الفرص'!$K$5:$K$400,A10)</f>
        <v>11</v>
      </c>
      <c r="C10" s="10" t="s">
        <v>15</v>
      </c>
    </row>
    <row r="11" customFormat="false" ht="15" hidden="false" customHeight="false" outlineLevel="0" collapsed="false">
      <c r="A11" s="8" t="s">
        <v>16</v>
      </c>
      <c r="B11" s="9" t="n">
        <f aca="false">COUNTIF('كل الفرص'!$K$5:$K$400,A11)</f>
        <v>39</v>
      </c>
      <c r="C11" s="10" t="s">
        <v>17</v>
      </c>
    </row>
    <row r="12" customFormat="false" ht="23.85" hidden="false" customHeight="false" outlineLevel="0" collapsed="false">
      <c r="A12" s="8" t="s">
        <v>18</v>
      </c>
      <c r="B12" s="9" t="n">
        <f aca="false">COUNTIF('كل الفرص'!$K$5:$K$400,A12)</f>
        <v>13</v>
      </c>
      <c r="C12" s="10" t="s">
        <v>19</v>
      </c>
    </row>
    <row r="13" customFormat="false" ht="15" hidden="false" customHeight="false" outlineLevel="0" collapsed="false">
      <c r="A13" s="8" t="s">
        <v>20</v>
      </c>
      <c r="B13" s="9" t="n">
        <f aca="false">COUNTIF('كل الفرص'!$K$5:$K$400,A13)</f>
        <v>12</v>
      </c>
      <c r="C13" s="10" t="s">
        <v>21</v>
      </c>
    </row>
    <row r="14" customFormat="false" ht="15" hidden="false" customHeight="false" outlineLevel="0" collapsed="false">
      <c r="A14" s="8" t="s">
        <v>22</v>
      </c>
      <c r="B14" s="9" t="n">
        <f aca="false">COUNTIF('كل الفرص'!$K$5:$K$400,A14)</f>
        <v>2</v>
      </c>
    </row>
    <row r="15" customFormat="false" ht="15" hidden="false" customHeight="false" outlineLevel="0" collapsed="false">
      <c r="A15" s="2" t="s">
        <v>23</v>
      </c>
      <c r="B15" s="4" t="n">
        <f aca="false">SUM(B6:B14)</f>
        <v>151</v>
      </c>
    </row>
    <row r="17" customFormat="false" ht="15" hidden="false" customHeight="false" outlineLevel="0" collapsed="false">
      <c r="A17" s="5" t="s">
        <v>24</v>
      </c>
      <c r="B17" s="6" t="s">
        <v>4</v>
      </c>
    </row>
    <row r="18" customFormat="false" ht="15" hidden="false" customHeight="false" outlineLevel="0" collapsed="false">
      <c r="A18" s="8" t="s">
        <v>25</v>
      </c>
      <c r="B18" s="9" t="n">
        <f aca="false">COUNTIF('كل الفرص'!$J$5:$J$400,A18)</f>
        <v>0</v>
      </c>
    </row>
    <row r="19" customFormat="false" ht="15" hidden="false" customHeight="false" outlineLevel="0" collapsed="false">
      <c r="A19" s="8" t="s">
        <v>26</v>
      </c>
      <c r="B19" s="9" t="n">
        <f aca="false">COUNTIF('كل الفرص'!$J$5:$J$400,A19)</f>
        <v>2</v>
      </c>
    </row>
    <row r="20" customFormat="false" ht="15" hidden="false" customHeight="false" outlineLevel="0" collapsed="false">
      <c r="A20" s="8" t="s">
        <v>27</v>
      </c>
      <c r="B20" s="9" t="n">
        <f aca="false">COUNTIF('كل الفرص'!$J$5:$J$400,A20)</f>
        <v>36</v>
      </c>
    </row>
    <row r="21" customFormat="false" ht="15" hidden="false" customHeight="false" outlineLevel="0" collapsed="false">
      <c r="A21" s="8" t="s">
        <v>28</v>
      </c>
      <c r="B21" s="9" t="n">
        <f aca="false">COUNTIF('كل الفرص'!$J$5:$J$400,A21)</f>
        <v>113</v>
      </c>
    </row>
    <row r="23" customFormat="false" ht="15" hidden="false" customHeight="false" outlineLevel="0" collapsed="false">
      <c r="A23" s="5" t="s">
        <v>29</v>
      </c>
      <c r="B23" s="6" t="s">
        <v>4</v>
      </c>
    </row>
    <row r="24" customFormat="false" ht="15" hidden="false" customHeight="false" outlineLevel="0" collapsed="false">
      <c r="A24" s="8" t="s">
        <v>30</v>
      </c>
      <c r="B24" s="9" t="n">
        <f aca="false">COUNTIF('كل الفرص'!$L$5:$L$400,A24)</f>
        <v>38</v>
      </c>
    </row>
    <row r="25" customFormat="false" ht="15" hidden="false" customHeight="false" outlineLevel="0" collapsed="false">
      <c r="A25" s="8" t="s">
        <v>31</v>
      </c>
      <c r="B25" s="9" t="n">
        <f aca="false">COUNTIF('كل الفرص'!$L$5:$L$400,A25)</f>
        <v>69</v>
      </c>
    </row>
    <row r="26" customFormat="false" ht="15" hidden="false" customHeight="false" outlineLevel="0" collapsed="false">
      <c r="A26" s="8" t="s">
        <v>32</v>
      </c>
      <c r="B26" s="9" t="n">
        <f aca="false">COUNTIF('كل الفرص'!$L$5:$L$400,A26)</f>
        <v>20</v>
      </c>
    </row>
    <row r="28" customFormat="false" ht="15" hidden="false" customHeight="false" outlineLevel="0" collapsed="false">
      <c r="A28" s="5" t="s">
        <v>33</v>
      </c>
      <c r="B28" s="6" t="s">
        <v>4</v>
      </c>
    </row>
    <row r="29" customFormat="false" ht="15" hidden="false" customHeight="false" outlineLevel="0" collapsed="false">
      <c r="A29" s="8" t="s">
        <v>34</v>
      </c>
      <c r="B29" s="9" t="n">
        <f aca="false">COUNTIF('كل الفرص'!$O$5:$O$400,A29)</f>
        <v>14</v>
      </c>
    </row>
    <row r="30" customFormat="false" ht="15" hidden="false" customHeight="false" outlineLevel="0" collapsed="false">
      <c r="A30" s="8" t="s">
        <v>35</v>
      </c>
      <c r="B30" s="9" t="n">
        <f aca="false">COUNTIF('كل الفرص'!$O$5:$O$400,A30)</f>
        <v>6</v>
      </c>
    </row>
    <row r="31" customFormat="false" ht="15" hidden="false" customHeight="false" outlineLevel="0" collapsed="false">
      <c r="A31" s="8" t="s">
        <v>36</v>
      </c>
      <c r="B31" s="9" t="n">
        <f aca="false">COUNTIF('كل الفرص'!$O$5:$O$400,A31)</f>
        <v>68</v>
      </c>
    </row>
    <row r="32" customFormat="false" ht="15" hidden="false" customHeight="false" outlineLevel="0" collapsed="false">
      <c r="A32" s="8" t="s">
        <v>37</v>
      </c>
      <c r="B32" s="9" t="n">
        <f aca="false">COUNTIF('كل الفرص'!$O$5:$O$400,A32)</f>
        <v>51</v>
      </c>
    </row>
    <row r="33" customFormat="false" ht="15" hidden="false" customHeight="false" outlineLevel="0" collapsed="false">
      <c r="A33" s="8" t="s">
        <v>38</v>
      </c>
      <c r="B33" s="9" t="n">
        <f aca="false">COUNTIF('كل الفرص'!$O$5:$O$400,A33)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22"/>
    <col collapsed="false" customWidth="true" hidden="false" outlineLevel="0" max="12" min="12" style="0" width="10"/>
    <col collapsed="false" customWidth="true" hidden="false" outlineLevel="0" max="13" min="13" style="0" width="60"/>
    <col collapsed="false" customWidth="true" hidden="false" outlineLevel="0" max="14" min="14" style="0" width="30"/>
    <col collapsed="false" customWidth="true" hidden="false" outlineLevel="0" max="15" min="15" style="0" width="20"/>
  </cols>
  <sheetData>
    <row r="1" customFormat="false" ht="17.15" hidden="false" customHeight="false" outlineLevel="0" collapsed="false">
      <c r="A1" s="11" t="s">
        <v>39</v>
      </c>
    </row>
    <row r="2" customFormat="false" ht="15" hidden="false" customHeight="false" outlineLevel="0" collapsed="false">
      <c r="A2" s="12" t="s">
        <v>40</v>
      </c>
    </row>
    <row r="4" customFormat="false" ht="15" hidden="false" customHeight="false" outlineLevel="0" collapsed="false">
      <c r="A4" s="13" t="s">
        <v>41</v>
      </c>
      <c r="B4" s="13" t="s">
        <v>42</v>
      </c>
      <c r="C4" s="13" t="s">
        <v>43</v>
      </c>
      <c r="D4" s="13" t="s">
        <v>44</v>
      </c>
      <c r="E4" s="13" t="s">
        <v>45</v>
      </c>
      <c r="F4" s="13" t="s">
        <v>46</v>
      </c>
      <c r="G4" s="13" t="s">
        <v>47</v>
      </c>
      <c r="H4" s="13" t="s">
        <v>48</v>
      </c>
      <c r="I4" s="13" t="s">
        <v>49</v>
      </c>
      <c r="J4" s="13" t="s">
        <v>50</v>
      </c>
      <c r="K4" s="13" t="s">
        <v>3</v>
      </c>
      <c r="L4" s="13" t="s">
        <v>29</v>
      </c>
      <c r="M4" s="13" t="s">
        <v>51</v>
      </c>
      <c r="N4" s="13" t="s">
        <v>52</v>
      </c>
      <c r="O4" s="13" t="s">
        <v>33</v>
      </c>
    </row>
    <row r="5" customFormat="false" ht="35.05" hidden="false" customHeight="false" outlineLevel="0" collapsed="false">
      <c r="A5" s="9" t="n">
        <v>1</v>
      </c>
      <c r="B5" s="14" t="s">
        <v>53</v>
      </c>
      <c r="C5" s="14" t="s">
        <v>54</v>
      </c>
      <c r="D5" s="14" t="s">
        <v>55</v>
      </c>
      <c r="E5" s="14" t="s">
        <v>56</v>
      </c>
      <c r="F5" s="14" t="s">
        <v>57</v>
      </c>
      <c r="G5" s="15" t="n">
        <v>46265</v>
      </c>
      <c r="H5" s="14" t="s">
        <v>58</v>
      </c>
      <c r="I5" s="16" t="n">
        <f aca="true">IF(G5="","",G5-TODAY())</f>
        <v>-37</v>
      </c>
      <c r="J5" s="17" t="str">
        <f aca="true">IF(G5="","—",IF(G5&lt;TODAY(),"فات الموعد",IF(G5-TODAY()&lt;=14,"عاجل (≤14 يوم)","ساري")))</f>
        <v>فات الموعد</v>
      </c>
      <c r="K5" s="14" t="s">
        <v>16</v>
      </c>
      <c r="L5" s="17" t="s">
        <v>30</v>
      </c>
      <c r="M5" s="14" t="s">
        <v>59</v>
      </c>
      <c r="N5" s="14" t="s">
        <v>60</v>
      </c>
      <c r="O5" s="14" t="s">
        <v>34</v>
      </c>
    </row>
    <row r="6" customFormat="false" ht="35.05" hidden="false" customHeight="false" outlineLevel="0" collapsed="false">
      <c r="A6" s="9" t="n">
        <v>2</v>
      </c>
      <c r="B6" s="14" t="s">
        <v>53</v>
      </c>
      <c r="C6" s="14" t="s">
        <v>61</v>
      </c>
      <c r="D6" s="14" t="s">
        <v>62</v>
      </c>
      <c r="E6" s="14" t="s">
        <v>63</v>
      </c>
      <c r="F6" s="14" t="s">
        <v>64</v>
      </c>
      <c r="G6" s="15" t="n">
        <v>46262</v>
      </c>
      <c r="H6" s="14" t="s">
        <v>65</v>
      </c>
      <c r="I6" s="16" t="n">
        <f aca="true">IF(G6="","",G6-TODAY())</f>
        <v>-40</v>
      </c>
      <c r="J6" s="17" t="str">
        <f aca="true">IF(G6="","—",IF(G6&lt;TODAY(),"فات الموعد",IF(G6-TODAY()&lt;=14,"عاجل (≤14 يوم)","ساري")))</f>
        <v>فات الموعد</v>
      </c>
      <c r="K6" s="14" t="s">
        <v>16</v>
      </c>
      <c r="L6" s="17" t="s">
        <v>30</v>
      </c>
      <c r="M6" s="14" t="s">
        <v>66</v>
      </c>
      <c r="N6" s="14" t="s">
        <v>67</v>
      </c>
      <c r="O6" s="14" t="s">
        <v>36</v>
      </c>
    </row>
    <row r="7" customFormat="false" ht="15" hidden="false" customHeight="false" outlineLevel="0" collapsed="false">
      <c r="A7" s="9" t="n">
        <v>3</v>
      </c>
      <c r="B7" s="14" t="s">
        <v>53</v>
      </c>
      <c r="C7" s="14" t="s">
        <v>68</v>
      </c>
      <c r="D7" s="14" t="s">
        <v>69</v>
      </c>
      <c r="E7" s="14" t="s">
        <v>70</v>
      </c>
      <c r="F7" s="14" t="s">
        <v>64</v>
      </c>
      <c r="G7" s="15" t="n">
        <v>46265</v>
      </c>
      <c r="H7" s="14" t="s">
        <v>71</v>
      </c>
      <c r="I7" s="16" t="n">
        <f aca="true">IF(G7="","",G7-TODAY())</f>
        <v>-37</v>
      </c>
      <c r="J7" s="17" t="str">
        <f aca="true">IF(G7="","—",IF(G7&lt;TODAY(),"فات الموعد",IF(G7-TODAY()&lt;=14,"عاجل (≤14 يوم)","ساري")))</f>
        <v>فات الموعد</v>
      </c>
      <c r="K7" s="14" t="s">
        <v>6</v>
      </c>
      <c r="L7" s="17" t="s">
        <v>31</v>
      </c>
      <c r="M7" s="14" t="s">
        <v>72</v>
      </c>
      <c r="N7" s="14" t="s">
        <v>28</v>
      </c>
      <c r="O7" s="14" t="s">
        <v>36</v>
      </c>
    </row>
    <row r="8" customFormat="false" ht="15" hidden="false" customHeight="false" outlineLevel="0" collapsed="false">
      <c r="A8" s="9" t="n">
        <v>4</v>
      </c>
      <c r="B8" s="14" t="s">
        <v>53</v>
      </c>
      <c r="C8" s="14" t="s">
        <v>73</v>
      </c>
      <c r="D8" s="14" t="s">
        <v>74</v>
      </c>
      <c r="E8" s="14" t="s">
        <v>75</v>
      </c>
      <c r="F8" s="14" t="s">
        <v>64</v>
      </c>
      <c r="G8" s="15" t="n">
        <v>46265</v>
      </c>
      <c r="H8" s="14" t="s">
        <v>71</v>
      </c>
      <c r="I8" s="16" t="n">
        <f aca="true">IF(G8="","",G8-TODAY())</f>
        <v>-37</v>
      </c>
      <c r="J8" s="17" t="str">
        <f aca="true">IF(G8="","—",IF(G8&lt;TODAY(),"فات الموعد",IF(G8-TODAY()&lt;=14,"عاجل (≤14 يوم)","ساري")))</f>
        <v>فات الموعد</v>
      </c>
      <c r="K8" s="14" t="s">
        <v>6</v>
      </c>
      <c r="L8" s="17" t="s">
        <v>31</v>
      </c>
      <c r="M8" s="14" t="s">
        <v>76</v>
      </c>
      <c r="N8" s="14" t="s">
        <v>28</v>
      </c>
      <c r="O8" s="14" t="s">
        <v>36</v>
      </c>
    </row>
    <row r="9" customFormat="false" ht="15" hidden="false" customHeight="false" outlineLevel="0" collapsed="false">
      <c r="A9" s="9" t="n">
        <v>5</v>
      </c>
      <c r="B9" s="14" t="s">
        <v>53</v>
      </c>
      <c r="C9" s="14" t="s">
        <v>77</v>
      </c>
      <c r="D9" s="14" t="s">
        <v>78</v>
      </c>
      <c r="E9" s="14" t="s">
        <v>79</v>
      </c>
      <c r="F9" s="14" t="s">
        <v>64</v>
      </c>
      <c r="G9" s="15" t="n">
        <v>46265</v>
      </c>
      <c r="H9" s="14" t="s">
        <v>71</v>
      </c>
      <c r="I9" s="16" t="n">
        <f aca="true">IF(G9="","",G9-TODAY())</f>
        <v>-37</v>
      </c>
      <c r="J9" s="17" t="str">
        <f aca="true">IF(G9="","—",IF(G9&lt;TODAY(),"فات الموعد",IF(G9-TODAY()&lt;=14,"عاجل (≤14 يوم)","ساري")))</f>
        <v>فات الموعد</v>
      </c>
      <c r="K9" s="14" t="s">
        <v>8</v>
      </c>
      <c r="L9" s="17" t="s">
        <v>31</v>
      </c>
      <c r="M9" s="14" t="s">
        <v>80</v>
      </c>
      <c r="N9" s="14" t="s">
        <v>28</v>
      </c>
      <c r="O9" s="14" t="s">
        <v>34</v>
      </c>
    </row>
    <row r="10" customFormat="false" ht="35.05" hidden="false" customHeight="false" outlineLevel="0" collapsed="false">
      <c r="A10" s="9" t="n">
        <v>6</v>
      </c>
      <c r="B10" s="14" t="s">
        <v>53</v>
      </c>
      <c r="C10" s="14" t="s">
        <v>81</v>
      </c>
      <c r="D10" s="14" t="s">
        <v>82</v>
      </c>
      <c r="E10" s="14" t="s">
        <v>83</v>
      </c>
      <c r="F10" s="14" t="s">
        <v>64</v>
      </c>
      <c r="G10" s="15" t="n">
        <v>46265</v>
      </c>
      <c r="H10" s="14" t="s">
        <v>71</v>
      </c>
      <c r="I10" s="16" t="n">
        <f aca="true">IF(G10="","",G10-TODAY())</f>
        <v>-37</v>
      </c>
      <c r="J10" s="17" t="str">
        <f aca="true">IF(G10="","—",IF(G10&lt;TODAY(),"فات الموعد",IF(G10-TODAY()&lt;=14,"عاجل (≤14 يوم)","ساري")))</f>
        <v>فات الموعد</v>
      </c>
      <c r="K10" s="14" t="s">
        <v>16</v>
      </c>
      <c r="L10" s="17" t="s">
        <v>30</v>
      </c>
      <c r="M10" s="14" t="s">
        <v>84</v>
      </c>
      <c r="N10" s="14" t="s">
        <v>28</v>
      </c>
      <c r="O10" s="14" t="s">
        <v>36</v>
      </c>
    </row>
    <row r="11" customFormat="false" ht="23.85" hidden="false" customHeight="false" outlineLevel="0" collapsed="false">
      <c r="A11" s="9" t="n">
        <v>7</v>
      </c>
      <c r="B11" s="14" t="s">
        <v>53</v>
      </c>
      <c r="C11" s="14" t="s">
        <v>85</v>
      </c>
      <c r="D11" s="14" t="s">
        <v>86</v>
      </c>
      <c r="E11" s="14" t="s">
        <v>87</v>
      </c>
      <c r="F11" s="14" t="s">
        <v>64</v>
      </c>
      <c r="G11" s="15" t="n">
        <v>46265</v>
      </c>
      <c r="H11" s="14" t="s">
        <v>71</v>
      </c>
      <c r="I11" s="16" t="n">
        <f aca="true">IF(G11="","",G11-TODAY())</f>
        <v>-37</v>
      </c>
      <c r="J11" s="17" t="str">
        <f aca="true">IF(G11="","—",IF(G11&lt;TODAY(),"فات الموعد",IF(G11-TODAY()&lt;=14,"عاجل (≤14 يوم)","ساري")))</f>
        <v>فات الموعد</v>
      </c>
      <c r="K11" s="14" t="s">
        <v>12</v>
      </c>
      <c r="L11" s="17" t="s">
        <v>31</v>
      </c>
      <c r="M11" s="14" t="s">
        <v>88</v>
      </c>
      <c r="N11" s="14" t="s">
        <v>89</v>
      </c>
      <c r="O11" s="14" t="s">
        <v>34</v>
      </c>
    </row>
    <row r="12" customFormat="false" ht="23.85" hidden="false" customHeight="false" outlineLevel="0" collapsed="false">
      <c r="A12" s="9" t="n">
        <v>8</v>
      </c>
      <c r="B12" s="14" t="s">
        <v>53</v>
      </c>
      <c r="C12" s="14" t="s">
        <v>90</v>
      </c>
      <c r="D12" s="14" t="s">
        <v>91</v>
      </c>
      <c r="E12" s="14" t="s">
        <v>92</v>
      </c>
      <c r="F12" s="14" t="s">
        <v>64</v>
      </c>
      <c r="G12" s="15" t="n">
        <v>46265</v>
      </c>
      <c r="H12" s="14" t="s">
        <v>71</v>
      </c>
      <c r="I12" s="16" t="n">
        <f aca="true">IF(G12="","",G12-TODAY())</f>
        <v>-37</v>
      </c>
      <c r="J12" s="17" t="str">
        <f aca="true">IF(G12="","—",IF(G12&lt;TODAY(),"فات الموعد",IF(G12-TODAY()&lt;=14,"عاجل (≤14 يوم)","ساري")))</f>
        <v>فات الموعد</v>
      </c>
      <c r="K12" s="14" t="s">
        <v>12</v>
      </c>
      <c r="L12" s="17" t="s">
        <v>31</v>
      </c>
      <c r="M12" s="14" t="s">
        <v>93</v>
      </c>
      <c r="N12" s="14" t="s">
        <v>28</v>
      </c>
      <c r="O12" s="14" t="s">
        <v>34</v>
      </c>
    </row>
    <row r="13" customFormat="false" ht="15" hidden="false" customHeight="false" outlineLevel="0" collapsed="false">
      <c r="A13" s="9" t="n">
        <v>9</v>
      </c>
      <c r="B13" s="14" t="s">
        <v>53</v>
      </c>
      <c r="C13" s="14" t="s">
        <v>94</v>
      </c>
      <c r="D13" s="14" t="s">
        <v>95</v>
      </c>
      <c r="E13" s="14" t="s">
        <v>96</v>
      </c>
      <c r="F13" s="14" t="s">
        <v>64</v>
      </c>
      <c r="G13" s="15" t="n">
        <v>46265</v>
      </c>
      <c r="H13" s="14" t="s">
        <v>71</v>
      </c>
      <c r="I13" s="16" t="n">
        <f aca="true">IF(G13="","",G13-TODAY())</f>
        <v>-37</v>
      </c>
      <c r="J13" s="17" t="str">
        <f aca="true">IF(G13="","—",IF(G13&lt;TODAY(),"فات الموعد",IF(G13-TODAY()&lt;=14,"عاجل (≤14 يوم)","ساري")))</f>
        <v>فات الموعد</v>
      </c>
      <c r="K13" s="14" t="s">
        <v>12</v>
      </c>
      <c r="L13" s="17" t="s">
        <v>31</v>
      </c>
      <c r="M13" s="14" t="s">
        <v>97</v>
      </c>
      <c r="N13" s="14" t="s">
        <v>28</v>
      </c>
      <c r="O13" s="14" t="s">
        <v>34</v>
      </c>
    </row>
    <row r="14" customFormat="false" ht="15" hidden="false" customHeight="false" outlineLevel="0" collapsed="false">
      <c r="A14" s="9" t="n">
        <v>10</v>
      </c>
      <c r="B14" s="14" t="s">
        <v>53</v>
      </c>
      <c r="C14" s="14" t="s">
        <v>94</v>
      </c>
      <c r="D14" s="14" t="s">
        <v>98</v>
      </c>
      <c r="E14" s="14" t="s">
        <v>99</v>
      </c>
      <c r="F14" s="14" t="s">
        <v>64</v>
      </c>
      <c r="G14" s="15" t="n">
        <v>46265</v>
      </c>
      <c r="H14" s="14" t="s">
        <v>71</v>
      </c>
      <c r="I14" s="16" t="n">
        <f aca="true">IF(G14="","",G14-TODAY())</f>
        <v>-37</v>
      </c>
      <c r="J14" s="17" t="str">
        <f aca="true">IF(G14="","—",IF(G14&lt;TODAY(),"فات الموعد",IF(G14-TODAY()&lt;=14,"عاجل (≤14 يوم)","ساري")))</f>
        <v>فات الموعد</v>
      </c>
      <c r="K14" s="14" t="s">
        <v>12</v>
      </c>
      <c r="L14" s="17" t="s">
        <v>31</v>
      </c>
      <c r="M14" s="14" t="s">
        <v>100</v>
      </c>
      <c r="N14" s="14" t="s">
        <v>28</v>
      </c>
      <c r="O14" s="14" t="s">
        <v>34</v>
      </c>
    </row>
    <row r="15" customFormat="false" ht="15" hidden="false" customHeight="false" outlineLevel="0" collapsed="false">
      <c r="A15" s="9" t="n">
        <v>11</v>
      </c>
      <c r="B15" s="14" t="s">
        <v>53</v>
      </c>
      <c r="C15" s="14" t="s">
        <v>101</v>
      </c>
      <c r="D15" s="14" t="s">
        <v>102</v>
      </c>
      <c r="E15" s="14" t="s">
        <v>103</v>
      </c>
      <c r="F15" s="14" t="s">
        <v>64</v>
      </c>
      <c r="G15" s="15" t="n">
        <v>46265</v>
      </c>
      <c r="H15" s="14" t="s">
        <v>71</v>
      </c>
      <c r="I15" s="16" t="n">
        <f aca="true">IF(G15="","",G15-TODAY())</f>
        <v>-37</v>
      </c>
      <c r="J15" s="17" t="str">
        <f aca="true">IF(G15="","—",IF(G15&lt;TODAY(),"فات الموعد",IF(G15-TODAY()&lt;=14,"عاجل (≤14 يوم)","ساري")))</f>
        <v>فات الموعد</v>
      </c>
      <c r="K15" s="14" t="s">
        <v>16</v>
      </c>
      <c r="L15" s="17" t="s">
        <v>32</v>
      </c>
      <c r="M15" s="14" t="s">
        <v>104</v>
      </c>
      <c r="N15" s="14" t="s">
        <v>28</v>
      </c>
      <c r="O15" s="14" t="s">
        <v>38</v>
      </c>
    </row>
    <row r="16" customFormat="false" ht="15" hidden="false" customHeight="false" outlineLevel="0" collapsed="false">
      <c r="A16" s="9" t="n">
        <v>12</v>
      </c>
      <c r="B16" s="14" t="s">
        <v>53</v>
      </c>
      <c r="C16" s="14" t="s">
        <v>105</v>
      </c>
      <c r="D16" s="14" t="s">
        <v>106</v>
      </c>
      <c r="E16" s="14" t="s">
        <v>107</v>
      </c>
      <c r="F16" s="14" t="s">
        <v>64</v>
      </c>
      <c r="G16" s="15" t="n">
        <v>46265</v>
      </c>
      <c r="H16" s="14" t="s">
        <v>71</v>
      </c>
      <c r="I16" s="16" t="n">
        <f aca="true">IF(G16="","",G16-TODAY())</f>
        <v>-37</v>
      </c>
      <c r="J16" s="17" t="str">
        <f aca="true">IF(G16="","—",IF(G16&lt;TODAY(),"فات الموعد",IF(G16-TODAY()&lt;=14,"عاجل (≤14 يوم)","ساري")))</f>
        <v>فات الموعد</v>
      </c>
      <c r="K16" s="14" t="s">
        <v>16</v>
      </c>
      <c r="L16" s="17" t="s">
        <v>32</v>
      </c>
      <c r="M16" s="14" t="s">
        <v>108</v>
      </c>
      <c r="N16" s="14" t="s">
        <v>28</v>
      </c>
      <c r="O16" s="14" t="s">
        <v>34</v>
      </c>
    </row>
    <row r="17" customFormat="false" ht="15" hidden="false" customHeight="false" outlineLevel="0" collapsed="false">
      <c r="A17" s="9" t="n">
        <v>13</v>
      </c>
      <c r="B17" s="14" t="s">
        <v>53</v>
      </c>
      <c r="C17" s="14" t="s">
        <v>109</v>
      </c>
      <c r="D17" s="14" t="s">
        <v>110</v>
      </c>
      <c r="E17" s="14" t="s">
        <v>83</v>
      </c>
      <c r="F17" s="14" t="s">
        <v>28</v>
      </c>
      <c r="G17" s="15"/>
      <c r="H17" s="14" t="s">
        <v>28</v>
      </c>
      <c r="I17" s="16" t="str">
        <f aca="true">IF(G17="","",G17-TODAY())</f>
        <v/>
      </c>
      <c r="J17" s="17" t="str">
        <f aca="true">IF(G17="","—",IF(G17&lt;TODAY(),"فات الموعد",IF(G17-TODAY()&lt;=14,"عاجل (≤14 يوم)","ساري")))</f>
        <v>—</v>
      </c>
      <c r="K17" s="14" t="s">
        <v>16</v>
      </c>
      <c r="L17" s="17" t="s">
        <v>32</v>
      </c>
      <c r="M17" s="14" t="s">
        <v>111</v>
      </c>
      <c r="N17" s="14" t="s">
        <v>28</v>
      </c>
      <c r="O17" s="14" t="s">
        <v>38</v>
      </c>
    </row>
    <row r="18" customFormat="false" ht="35.05" hidden="false" customHeight="false" outlineLevel="0" collapsed="false">
      <c r="A18" s="9" t="n">
        <v>14</v>
      </c>
      <c r="B18" s="14" t="s">
        <v>112</v>
      </c>
      <c r="C18" s="14" t="s">
        <v>113</v>
      </c>
      <c r="D18" s="14" t="s">
        <v>114</v>
      </c>
      <c r="E18" s="14" t="s">
        <v>115</v>
      </c>
      <c r="F18" s="14" t="s">
        <v>116</v>
      </c>
      <c r="G18" s="15" t="n">
        <v>46296</v>
      </c>
      <c r="H18" s="14" t="s">
        <v>117</v>
      </c>
      <c r="I18" s="16" t="n">
        <f aca="true">IF(G18="","",G18-TODAY())</f>
        <v>-6</v>
      </c>
      <c r="J18" s="17" t="str">
        <f aca="true">IF(G18="","—",IF(G18&lt;TODAY(),"فات الموعد",IF(G18-TODAY()&lt;=14,"عاجل (≤14 يوم)","ساري")))</f>
        <v>فات الموعد</v>
      </c>
      <c r="K18" s="14" t="s">
        <v>6</v>
      </c>
      <c r="L18" s="17" t="s">
        <v>30</v>
      </c>
      <c r="M18" s="14" t="s">
        <v>118</v>
      </c>
      <c r="N18" s="14" t="s">
        <v>28</v>
      </c>
      <c r="O18" s="14" t="s">
        <v>36</v>
      </c>
    </row>
    <row r="19" customFormat="false" ht="15" hidden="false" customHeight="false" outlineLevel="0" collapsed="false">
      <c r="A19" s="9" t="n">
        <v>15</v>
      </c>
      <c r="B19" s="14" t="s">
        <v>112</v>
      </c>
      <c r="C19" s="14" t="s">
        <v>119</v>
      </c>
      <c r="D19" s="14" t="s">
        <v>120</v>
      </c>
      <c r="E19" s="14" t="s">
        <v>121</v>
      </c>
      <c r="F19" s="14" t="s">
        <v>28</v>
      </c>
      <c r="G19" s="15"/>
      <c r="H19" s="14" t="s">
        <v>28</v>
      </c>
      <c r="I19" s="16" t="str">
        <f aca="true">IF(G19="","",G19-TODAY())</f>
        <v/>
      </c>
      <c r="J19" s="17" t="str">
        <f aca="true">IF(G19="","—",IF(G19&lt;TODAY(),"فات الموعد",IF(G19-TODAY()&lt;=14,"عاجل (≤14 يوم)","ساري")))</f>
        <v>—</v>
      </c>
      <c r="K19" s="14" t="s">
        <v>8</v>
      </c>
      <c r="L19" s="17" t="s">
        <v>30</v>
      </c>
      <c r="M19" s="14" t="s">
        <v>122</v>
      </c>
      <c r="N19" s="14" t="s">
        <v>28</v>
      </c>
      <c r="O19" s="14" t="s">
        <v>36</v>
      </c>
    </row>
    <row r="20" customFormat="false" ht="23.85" hidden="false" customHeight="false" outlineLevel="0" collapsed="false">
      <c r="A20" s="9" t="n">
        <v>16</v>
      </c>
      <c r="B20" s="14" t="s">
        <v>112</v>
      </c>
      <c r="C20" s="14" t="s">
        <v>123</v>
      </c>
      <c r="D20" s="14" t="s">
        <v>124</v>
      </c>
      <c r="E20" s="14" t="s">
        <v>125</v>
      </c>
      <c r="F20" s="14" t="s">
        <v>116</v>
      </c>
      <c r="G20" s="15"/>
      <c r="H20" s="14" t="s">
        <v>126</v>
      </c>
      <c r="I20" s="16" t="str">
        <f aca="true">IF(G20="","",G20-TODAY())</f>
        <v/>
      </c>
      <c r="J20" s="17" t="str">
        <f aca="true">IF(G20="","—",IF(G20&lt;TODAY(),"فات الموعد",IF(G20-TODAY()&lt;=14,"عاجل (≤14 يوم)","ساري")))</f>
        <v>—</v>
      </c>
      <c r="K20" s="14" t="s">
        <v>16</v>
      </c>
      <c r="L20" s="17" t="s">
        <v>31</v>
      </c>
      <c r="M20" s="14" t="s">
        <v>127</v>
      </c>
      <c r="N20" s="14" t="s">
        <v>28</v>
      </c>
      <c r="O20" s="14" t="s">
        <v>38</v>
      </c>
    </row>
    <row r="21" customFormat="false" ht="23.85" hidden="false" customHeight="false" outlineLevel="0" collapsed="false">
      <c r="A21" s="9" t="n">
        <v>17</v>
      </c>
      <c r="B21" s="14" t="s">
        <v>128</v>
      </c>
      <c r="C21" s="14" t="s">
        <v>129</v>
      </c>
      <c r="D21" s="14" t="s">
        <v>130</v>
      </c>
      <c r="E21" s="14" t="s">
        <v>131</v>
      </c>
      <c r="F21" s="14" t="s">
        <v>116</v>
      </c>
      <c r="G21" s="15"/>
      <c r="H21" s="14" t="s">
        <v>28</v>
      </c>
      <c r="I21" s="16" t="str">
        <f aca="true">IF(G21="","",G21-TODAY())</f>
        <v/>
      </c>
      <c r="J21" s="17" t="str">
        <f aca="true">IF(G21="","—",IF(G21&lt;TODAY(),"فات الموعد",IF(G21-TODAY()&lt;=14,"عاجل (≤14 يوم)","ساري")))</f>
        <v>—</v>
      </c>
      <c r="K21" s="14" t="s">
        <v>6</v>
      </c>
      <c r="L21" s="17" t="s">
        <v>30</v>
      </c>
      <c r="M21" s="14" t="s">
        <v>132</v>
      </c>
      <c r="N21" s="14" t="s">
        <v>28</v>
      </c>
      <c r="O21" s="14" t="s">
        <v>36</v>
      </c>
    </row>
    <row r="22" customFormat="false" ht="15" hidden="false" customHeight="false" outlineLevel="0" collapsed="false">
      <c r="A22" s="9" t="n">
        <v>18</v>
      </c>
      <c r="B22" s="14" t="s">
        <v>128</v>
      </c>
      <c r="C22" s="14" t="s">
        <v>133</v>
      </c>
      <c r="D22" s="14" t="s">
        <v>134</v>
      </c>
      <c r="E22" s="14" t="s">
        <v>135</v>
      </c>
      <c r="F22" s="14" t="s">
        <v>116</v>
      </c>
      <c r="G22" s="15"/>
      <c r="H22" s="14" t="s">
        <v>136</v>
      </c>
      <c r="I22" s="16" t="str">
        <f aca="true">IF(G22="","",G22-TODAY())</f>
        <v/>
      </c>
      <c r="J22" s="17" t="str">
        <f aca="true">IF(G22="","—",IF(G22&lt;TODAY(),"فات الموعد",IF(G22-TODAY()&lt;=14,"عاجل (≤14 يوم)","ساري")))</f>
        <v>—</v>
      </c>
      <c r="K22" s="14" t="s">
        <v>12</v>
      </c>
      <c r="L22" s="17" t="s">
        <v>31</v>
      </c>
      <c r="M22" s="14" t="s">
        <v>137</v>
      </c>
      <c r="N22" s="14" t="s">
        <v>28</v>
      </c>
      <c r="O22" s="14" t="s">
        <v>37</v>
      </c>
    </row>
    <row r="23" customFormat="false" ht="23.85" hidden="false" customHeight="false" outlineLevel="0" collapsed="false">
      <c r="A23" s="9" t="n">
        <v>19</v>
      </c>
      <c r="B23" s="14" t="s">
        <v>138</v>
      </c>
      <c r="C23" s="14" t="s">
        <v>139</v>
      </c>
      <c r="D23" s="14" t="s">
        <v>140</v>
      </c>
      <c r="E23" s="14" t="s">
        <v>141</v>
      </c>
      <c r="F23" s="14" t="s">
        <v>116</v>
      </c>
      <c r="G23" s="15"/>
      <c r="H23" s="14" t="s">
        <v>142</v>
      </c>
      <c r="I23" s="16" t="str">
        <f aca="true">IF(G23="","",G23-TODAY())</f>
        <v/>
      </c>
      <c r="J23" s="17" t="str">
        <f aca="true">IF(G23="","—",IF(G23&lt;TODAY(),"فات الموعد",IF(G23-TODAY()&lt;=14,"عاجل (≤14 يوم)","ساري")))</f>
        <v>—</v>
      </c>
      <c r="K23" s="14" t="s">
        <v>16</v>
      </c>
      <c r="L23" s="17" t="s">
        <v>30</v>
      </c>
      <c r="M23" s="14" t="s">
        <v>143</v>
      </c>
      <c r="N23" s="14" t="s">
        <v>144</v>
      </c>
      <c r="O23" s="14" t="s">
        <v>34</v>
      </c>
    </row>
    <row r="24" customFormat="false" ht="15" hidden="false" customHeight="false" outlineLevel="0" collapsed="false">
      <c r="A24" s="9" t="n">
        <v>20</v>
      </c>
      <c r="B24" s="14" t="s">
        <v>138</v>
      </c>
      <c r="C24" s="14" t="s">
        <v>139</v>
      </c>
      <c r="D24" s="14" t="s">
        <v>145</v>
      </c>
      <c r="E24" s="14" t="s">
        <v>103</v>
      </c>
      <c r="F24" s="14" t="s">
        <v>116</v>
      </c>
      <c r="G24" s="15"/>
      <c r="H24" s="14" t="s">
        <v>28</v>
      </c>
      <c r="I24" s="16" t="str">
        <f aca="true">IF(G24="","",G24-TODAY())</f>
        <v/>
      </c>
      <c r="J24" s="17" t="str">
        <f aca="true">IF(G24="","—",IF(G24&lt;TODAY(),"فات الموعد",IF(G24-TODAY()&lt;=14,"عاجل (≤14 يوم)","ساري")))</f>
        <v>—</v>
      </c>
      <c r="K24" s="14" t="s">
        <v>6</v>
      </c>
      <c r="L24" s="17" t="s">
        <v>32</v>
      </c>
      <c r="M24" s="14" t="s">
        <v>146</v>
      </c>
      <c r="N24" s="14" t="s">
        <v>28</v>
      </c>
      <c r="O24" s="14" t="s">
        <v>36</v>
      </c>
    </row>
    <row r="25" customFormat="false" ht="15" hidden="false" customHeight="false" outlineLevel="0" collapsed="false">
      <c r="A25" s="9" t="n">
        <v>21</v>
      </c>
      <c r="B25" s="14" t="s">
        <v>138</v>
      </c>
      <c r="C25" s="14" t="s">
        <v>139</v>
      </c>
      <c r="D25" s="14" t="s">
        <v>147</v>
      </c>
      <c r="E25" s="14" t="s">
        <v>103</v>
      </c>
      <c r="F25" s="14" t="s">
        <v>116</v>
      </c>
      <c r="G25" s="15"/>
      <c r="H25" s="14" t="s">
        <v>28</v>
      </c>
      <c r="I25" s="16" t="str">
        <f aca="true">IF(G25="","",G25-TODAY())</f>
        <v/>
      </c>
      <c r="J25" s="17" t="str">
        <f aca="true">IF(G25="","—",IF(G25&lt;TODAY(),"فات الموعد",IF(G25-TODAY()&lt;=14,"عاجل (≤14 يوم)","ساري")))</f>
        <v>—</v>
      </c>
      <c r="K25" s="14" t="s">
        <v>6</v>
      </c>
      <c r="L25" s="17" t="s">
        <v>31</v>
      </c>
      <c r="M25" s="14" t="s">
        <v>148</v>
      </c>
      <c r="N25" s="14" t="s">
        <v>28</v>
      </c>
      <c r="O25" s="14" t="s">
        <v>36</v>
      </c>
    </row>
    <row r="26" customFormat="false" ht="15" hidden="false" customHeight="false" outlineLevel="0" collapsed="false">
      <c r="A26" s="9" t="n">
        <v>22</v>
      </c>
      <c r="B26" s="14" t="s">
        <v>138</v>
      </c>
      <c r="C26" s="14" t="s">
        <v>139</v>
      </c>
      <c r="D26" s="14" t="s">
        <v>149</v>
      </c>
      <c r="E26" s="14" t="s">
        <v>103</v>
      </c>
      <c r="F26" s="14" t="s">
        <v>28</v>
      </c>
      <c r="G26" s="15"/>
      <c r="H26" s="14" t="s">
        <v>28</v>
      </c>
      <c r="I26" s="16" t="str">
        <f aca="true">IF(G26="","",G26-TODAY())</f>
        <v/>
      </c>
      <c r="J26" s="17" t="str">
        <f aca="true">IF(G26="","—",IF(G26&lt;TODAY(),"فات الموعد",IF(G26-TODAY()&lt;=14,"عاجل (≤14 يوم)","ساري")))</f>
        <v>—</v>
      </c>
      <c r="K26" s="14" t="s">
        <v>18</v>
      </c>
      <c r="L26" s="17" t="s">
        <v>28</v>
      </c>
      <c r="M26" s="14" t="s">
        <v>150</v>
      </c>
      <c r="N26" s="14" t="s">
        <v>28</v>
      </c>
      <c r="O26" s="14" t="s">
        <v>36</v>
      </c>
    </row>
    <row r="27" customFormat="false" ht="23.85" hidden="false" customHeight="false" outlineLevel="0" collapsed="false">
      <c r="A27" s="9" t="n">
        <v>23</v>
      </c>
      <c r="B27" s="14" t="s">
        <v>138</v>
      </c>
      <c r="C27" s="14" t="s">
        <v>151</v>
      </c>
      <c r="D27" s="14" t="s">
        <v>152</v>
      </c>
      <c r="E27" s="14" t="s">
        <v>153</v>
      </c>
      <c r="F27" s="14" t="s">
        <v>28</v>
      </c>
      <c r="G27" s="15"/>
      <c r="H27" s="14" t="s">
        <v>28</v>
      </c>
      <c r="I27" s="16" t="str">
        <f aca="true">IF(G27="","",G27-TODAY())</f>
        <v/>
      </c>
      <c r="J27" s="17" t="str">
        <f aca="true">IF(G27="","—",IF(G27&lt;TODAY(),"فات الموعد",IF(G27-TODAY()&lt;=14,"عاجل (≤14 يوم)","ساري")))</f>
        <v>—</v>
      </c>
      <c r="K27" s="14" t="s">
        <v>8</v>
      </c>
      <c r="L27" s="17" t="s">
        <v>30</v>
      </c>
      <c r="M27" s="14" t="s">
        <v>154</v>
      </c>
      <c r="N27" s="14" t="s">
        <v>28</v>
      </c>
      <c r="O27" s="14" t="s">
        <v>36</v>
      </c>
    </row>
    <row r="28" customFormat="false" ht="15" hidden="false" customHeight="false" outlineLevel="0" collapsed="false">
      <c r="A28" s="9" t="n">
        <v>24</v>
      </c>
      <c r="B28" s="14" t="s">
        <v>138</v>
      </c>
      <c r="C28" s="14" t="s">
        <v>155</v>
      </c>
      <c r="D28" s="14" t="s">
        <v>156</v>
      </c>
      <c r="E28" s="14" t="s">
        <v>103</v>
      </c>
      <c r="F28" s="14" t="s">
        <v>28</v>
      </c>
      <c r="G28" s="15"/>
      <c r="H28" s="14" t="s">
        <v>28</v>
      </c>
      <c r="I28" s="16" t="str">
        <f aca="true">IF(G28="","",G28-TODAY())</f>
        <v/>
      </c>
      <c r="J28" s="17" t="str">
        <f aca="true">IF(G28="","—",IF(G28&lt;TODAY(),"فات الموعد",IF(G28-TODAY()&lt;=14,"عاجل (≤14 يوم)","ساري")))</f>
        <v>—</v>
      </c>
      <c r="K28" s="14" t="s">
        <v>16</v>
      </c>
      <c r="L28" s="17" t="s">
        <v>32</v>
      </c>
      <c r="M28" s="14" t="s">
        <v>157</v>
      </c>
      <c r="N28" s="14" t="s">
        <v>28</v>
      </c>
      <c r="O28" s="14" t="s">
        <v>38</v>
      </c>
    </row>
    <row r="29" customFormat="false" ht="15" hidden="false" customHeight="false" outlineLevel="0" collapsed="false">
      <c r="A29" s="9" t="n">
        <v>25</v>
      </c>
      <c r="B29" s="14" t="s">
        <v>138</v>
      </c>
      <c r="C29" s="14" t="s">
        <v>158</v>
      </c>
      <c r="D29" s="14" t="s">
        <v>159</v>
      </c>
      <c r="E29" s="14" t="s">
        <v>103</v>
      </c>
      <c r="F29" s="14" t="s">
        <v>28</v>
      </c>
      <c r="G29" s="15"/>
      <c r="H29" s="14" t="s">
        <v>28</v>
      </c>
      <c r="I29" s="16" t="str">
        <f aca="true">IF(G29="","",G29-TODAY())</f>
        <v/>
      </c>
      <c r="J29" s="17" t="str">
        <f aca="true">IF(G29="","—",IF(G29&lt;TODAY(),"فات الموعد",IF(G29-TODAY()&lt;=14,"عاجل (≤14 يوم)","ساري")))</f>
        <v>—</v>
      </c>
      <c r="K29" s="14" t="s">
        <v>22</v>
      </c>
      <c r="L29" s="17" t="s">
        <v>28</v>
      </c>
      <c r="M29" s="14" t="s">
        <v>160</v>
      </c>
      <c r="N29" s="14" t="s">
        <v>28</v>
      </c>
      <c r="O29" s="14" t="s">
        <v>36</v>
      </c>
    </row>
    <row r="30" customFormat="false" ht="15" hidden="false" customHeight="false" outlineLevel="0" collapsed="false">
      <c r="A30" s="9" t="n">
        <v>26</v>
      </c>
      <c r="B30" s="14" t="s">
        <v>138</v>
      </c>
      <c r="C30" s="14" t="s">
        <v>161</v>
      </c>
      <c r="D30" s="14" t="s">
        <v>162</v>
      </c>
      <c r="E30" s="14" t="s">
        <v>163</v>
      </c>
      <c r="F30" s="14" t="s">
        <v>28</v>
      </c>
      <c r="G30" s="15"/>
      <c r="H30" s="14" t="s">
        <v>28</v>
      </c>
      <c r="I30" s="16" t="str">
        <f aca="true">IF(G30="","",G30-TODAY())</f>
        <v/>
      </c>
      <c r="J30" s="17" t="str">
        <f aca="true">IF(G30="","—",IF(G30&lt;TODAY(),"فات الموعد",IF(G30-TODAY()&lt;=14,"عاجل (≤14 يوم)","ساري")))</f>
        <v>—</v>
      </c>
      <c r="K30" s="14" t="s">
        <v>22</v>
      </c>
      <c r="L30" s="17" t="s">
        <v>28</v>
      </c>
      <c r="M30" s="14" t="s">
        <v>160</v>
      </c>
      <c r="N30" s="14" t="s">
        <v>28</v>
      </c>
      <c r="O30" s="14" t="s">
        <v>36</v>
      </c>
    </row>
    <row r="31" customFormat="false" ht="15" hidden="false" customHeight="false" outlineLevel="0" collapsed="false">
      <c r="A31" s="9" t="n">
        <v>27</v>
      </c>
      <c r="B31" s="14" t="s">
        <v>138</v>
      </c>
      <c r="C31" s="14" t="s">
        <v>161</v>
      </c>
      <c r="D31" s="14" t="s">
        <v>164</v>
      </c>
      <c r="E31" s="14" t="s">
        <v>103</v>
      </c>
      <c r="F31" s="14" t="s">
        <v>28</v>
      </c>
      <c r="G31" s="15"/>
      <c r="H31" s="14" t="s">
        <v>28</v>
      </c>
      <c r="I31" s="16" t="str">
        <f aca="true">IF(G31="","",G31-TODAY())</f>
        <v/>
      </c>
      <c r="J31" s="17" t="str">
        <f aca="true">IF(G31="","—",IF(G31&lt;TODAY(),"فات الموعد",IF(G31-TODAY()&lt;=14,"عاجل (≤14 يوم)","ساري")))</f>
        <v>—</v>
      </c>
      <c r="K31" s="14" t="s">
        <v>8</v>
      </c>
      <c r="L31" s="17" t="s">
        <v>31</v>
      </c>
      <c r="M31" s="14" t="s">
        <v>165</v>
      </c>
      <c r="N31" s="14" t="s">
        <v>28</v>
      </c>
      <c r="O31" s="14" t="s">
        <v>36</v>
      </c>
    </row>
    <row r="32" customFormat="false" ht="15" hidden="false" customHeight="false" outlineLevel="0" collapsed="false">
      <c r="A32" s="9" t="n">
        <v>28</v>
      </c>
      <c r="B32" s="14" t="s">
        <v>138</v>
      </c>
      <c r="C32" s="14" t="s">
        <v>166</v>
      </c>
      <c r="D32" s="14" t="s">
        <v>167</v>
      </c>
      <c r="E32" s="14" t="s">
        <v>168</v>
      </c>
      <c r="F32" s="14" t="s">
        <v>116</v>
      </c>
      <c r="G32" s="15" t="n">
        <v>46285</v>
      </c>
      <c r="H32" s="14" t="s">
        <v>28</v>
      </c>
      <c r="I32" s="16" t="n">
        <f aca="true">IF(G32="","",G32-TODAY())</f>
        <v>-17</v>
      </c>
      <c r="J32" s="17" t="str">
        <f aca="true">IF(G32="","—",IF(G32&lt;TODAY(),"فات الموعد",IF(G32-TODAY()&lt;=14,"عاجل (≤14 يوم)","ساري")))</f>
        <v>فات الموعد</v>
      </c>
      <c r="K32" s="14" t="s">
        <v>16</v>
      </c>
      <c r="L32" s="17" t="s">
        <v>31</v>
      </c>
      <c r="M32" s="14" t="s">
        <v>169</v>
      </c>
      <c r="N32" s="14" t="s">
        <v>28</v>
      </c>
      <c r="O32" s="14" t="s">
        <v>36</v>
      </c>
    </row>
    <row r="33" customFormat="false" ht="15" hidden="false" customHeight="false" outlineLevel="0" collapsed="false">
      <c r="A33" s="9" t="n">
        <v>29</v>
      </c>
      <c r="B33" s="14" t="s">
        <v>138</v>
      </c>
      <c r="C33" s="14" t="s">
        <v>166</v>
      </c>
      <c r="D33" s="14" t="s">
        <v>170</v>
      </c>
      <c r="E33" s="14" t="s">
        <v>171</v>
      </c>
      <c r="F33" s="14" t="s">
        <v>116</v>
      </c>
      <c r="G33" s="15"/>
      <c r="H33" s="14" t="s">
        <v>28</v>
      </c>
      <c r="I33" s="16" t="str">
        <f aca="true">IF(G33="","",G33-TODAY())</f>
        <v/>
      </c>
      <c r="J33" s="17" t="str">
        <f aca="true">IF(G33="","—",IF(G33&lt;TODAY(),"فات الموعد",IF(G33-TODAY()&lt;=14,"عاجل (≤14 يوم)","ساري")))</f>
        <v>—</v>
      </c>
      <c r="K33" s="14" t="s">
        <v>6</v>
      </c>
      <c r="L33" s="17" t="s">
        <v>31</v>
      </c>
      <c r="M33" s="14" t="s">
        <v>172</v>
      </c>
      <c r="N33" s="14" t="s">
        <v>28</v>
      </c>
      <c r="O33" s="14" t="s">
        <v>36</v>
      </c>
    </row>
    <row r="34" customFormat="false" ht="35.05" hidden="false" customHeight="false" outlineLevel="0" collapsed="false">
      <c r="A34" s="9" t="n">
        <v>30</v>
      </c>
      <c r="B34" s="14" t="s">
        <v>138</v>
      </c>
      <c r="C34" s="14" t="s">
        <v>173</v>
      </c>
      <c r="D34" s="14" t="s">
        <v>174</v>
      </c>
      <c r="E34" s="14" t="s">
        <v>125</v>
      </c>
      <c r="F34" s="14" t="s">
        <v>116</v>
      </c>
      <c r="G34" s="15" t="n">
        <v>46265</v>
      </c>
      <c r="H34" s="14" t="s">
        <v>28</v>
      </c>
      <c r="I34" s="16" t="n">
        <f aca="true">IF(G34="","",G34-TODAY())</f>
        <v>-37</v>
      </c>
      <c r="J34" s="17" t="str">
        <f aca="true">IF(G34="","—",IF(G34&lt;TODAY(),"فات الموعد",IF(G34-TODAY()&lt;=14,"عاجل (≤14 يوم)","ساري")))</f>
        <v>فات الموعد</v>
      </c>
      <c r="K34" s="14" t="s">
        <v>16</v>
      </c>
      <c r="L34" s="17" t="s">
        <v>30</v>
      </c>
      <c r="M34" s="14" t="s">
        <v>175</v>
      </c>
      <c r="N34" s="14" t="s">
        <v>28</v>
      </c>
      <c r="O34" s="14" t="s">
        <v>36</v>
      </c>
    </row>
    <row r="35" customFormat="false" ht="23.85" hidden="false" customHeight="false" outlineLevel="0" collapsed="false">
      <c r="A35" s="9" t="n">
        <v>31</v>
      </c>
      <c r="B35" s="14" t="s">
        <v>138</v>
      </c>
      <c r="C35" s="14" t="s">
        <v>176</v>
      </c>
      <c r="D35" s="14" t="s">
        <v>177</v>
      </c>
      <c r="E35" s="14" t="s">
        <v>178</v>
      </c>
      <c r="F35" s="14" t="s">
        <v>28</v>
      </c>
      <c r="G35" s="15"/>
      <c r="H35" s="14" t="s">
        <v>28</v>
      </c>
      <c r="I35" s="16" t="str">
        <f aca="true">IF(G35="","",G35-TODAY())</f>
        <v/>
      </c>
      <c r="J35" s="17" t="str">
        <f aca="true">IF(G35="","—",IF(G35&lt;TODAY(),"فات الموعد",IF(G35-TODAY()&lt;=14,"عاجل (≤14 يوم)","ساري")))</f>
        <v>—</v>
      </c>
      <c r="K35" s="14" t="s">
        <v>8</v>
      </c>
      <c r="L35" s="17" t="s">
        <v>31</v>
      </c>
      <c r="M35" s="14" t="s">
        <v>179</v>
      </c>
      <c r="N35" s="14" t="s">
        <v>28</v>
      </c>
      <c r="O35" s="14" t="s">
        <v>36</v>
      </c>
    </row>
    <row r="36" customFormat="false" ht="23.85" hidden="false" customHeight="false" outlineLevel="0" collapsed="false">
      <c r="A36" s="9" t="n">
        <v>32</v>
      </c>
      <c r="B36" s="14" t="s">
        <v>138</v>
      </c>
      <c r="C36" s="14" t="s">
        <v>180</v>
      </c>
      <c r="D36" s="14" t="s">
        <v>181</v>
      </c>
      <c r="E36" s="14" t="s">
        <v>182</v>
      </c>
      <c r="F36" s="14" t="s">
        <v>183</v>
      </c>
      <c r="G36" s="15" t="n">
        <v>46265</v>
      </c>
      <c r="H36" s="14" t="s">
        <v>28</v>
      </c>
      <c r="I36" s="16" t="n">
        <f aca="true">IF(G36="","",G36-TODAY())</f>
        <v>-37</v>
      </c>
      <c r="J36" s="17" t="str">
        <f aca="true">IF(G36="","—",IF(G36&lt;TODAY(),"فات الموعد",IF(G36-TODAY()&lt;=14,"عاجل (≤14 يوم)","ساري")))</f>
        <v>فات الموعد</v>
      </c>
      <c r="K36" s="14" t="s">
        <v>18</v>
      </c>
      <c r="L36" s="17" t="s">
        <v>31</v>
      </c>
      <c r="M36" s="14" t="s">
        <v>184</v>
      </c>
      <c r="N36" s="14" t="s">
        <v>28</v>
      </c>
      <c r="O36" s="14" t="s">
        <v>37</v>
      </c>
    </row>
    <row r="37" customFormat="false" ht="15" hidden="false" customHeight="false" outlineLevel="0" collapsed="false">
      <c r="A37" s="9" t="n">
        <v>33</v>
      </c>
      <c r="B37" s="14" t="s">
        <v>138</v>
      </c>
      <c r="C37" s="14" t="s">
        <v>185</v>
      </c>
      <c r="D37" s="14" t="s">
        <v>186</v>
      </c>
      <c r="E37" s="14" t="s">
        <v>187</v>
      </c>
      <c r="F37" s="14" t="s">
        <v>116</v>
      </c>
      <c r="G37" s="15"/>
      <c r="H37" s="14" t="s">
        <v>188</v>
      </c>
      <c r="I37" s="16" t="str">
        <f aca="true">IF(G37="","",G37-TODAY())</f>
        <v/>
      </c>
      <c r="J37" s="17" t="str">
        <f aca="true">IF(G37="","—",IF(G37&lt;TODAY(),"فات الموعد",IF(G37-TODAY()&lt;=14,"عاجل (≤14 يوم)","ساري")))</f>
        <v>—</v>
      </c>
      <c r="K37" s="14" t="s">
        <v>12</v>
      </c>
      <c r="L37" s="17" t="s">
        <v>31</v>
      </c>
      <c r="M37" s="14" t="s">
        <v>189</v>
      </c>
      <c r="N37" s="14" t="s">
        <v>28</v>
      </c>
      <c r="O37" s="14" t="s">
        <v>37</v>
      </c>
    </row>
    <row r="38" customFormat="false" ht="15" hidden="false" customHeight="false" outlineLevel="0" collapsed="false">
      <c r="A38" s="9" t="n">
        <v>34</v>
      </c>
      <c r="B38" s="14" t="s">
        <v>138</v>
      </c>
      <c r="C38" s="14" t="s">
        <v>190</v>
      </c>
      <c r="D38" s="14" t="s">
        <v>191</v>
      </c>
      <c r="E38" s="14" t="s">
        <v>192</v>
      </c>
      <c r="F38" s="14" t="s">
        <v>116</v>
      </c>
      <c r="G38" s="15"/>
      <c r="H38" s="14" t="s">
        <v>188</v>
      </c>
      <c r="I38" s="16" t="str">
        <f aca="true">IF(G38="","",G38-TODAY())</f>
        <v/>
      </c>
      <c r="J38" s="17" t="str">
        <f aca="true">IF(G38="","—",IF(G38&lt;TODAY(),"فات الموعد",IF(G38-TODAY()&lt;=14,"عاجل (≤14 يوم)","ساري")))</f>
        <v>—</v>
      </c>
      <c r="K38" s="14" t="s">
        <v>12</v>
      </c>
      <c r="L38" s="17" t="s">
        <v>31</v>
      </c>
      <c r="M38" s="14" t="s">
        <v>189</v>
      </c>
      <c r="N38" s="14" t="s">
        <v>28</v>
      </c>
      <c r="O38" s="14" t="s">
        <v>37</v>
      </c>
    </row>
    <row r="39" customFormat="false" ht="15" hidden="false" customHeight="false" outlineLevel="0" collapsed="false">
      <c r="A39" s="9" t="n">
        <v>35</v>
      </c>
      <c r="B39" s="14" t="s">
        <v>193</v>
      </c>
      <c r="C39" s="14" t="s">
        <v>194</v>
      </c>
      <c r="D39" s="14" t="s">
        <v>195</v>
      </c>
      <c r="E39" s="14" t="s">
        <v>196</v>
      </c>
      <c r="F39" s="14" t="s">
        <v>116</v>
      </c>
      <c r="G39" s="15" t="n">
        <v>46265</v>
      </c>
      <c r="H39" s="14" t="s">
        <v>197</v>
      </c>
      <c r="I39" s="16" t="n">
        <f aca="true">IF(G39="","",G39-TODAY())</f>
        <v>-37</v>
      </c>
      <c r="J39" s="17" t="str">
        <f aca="true">IF(G39="","—",IF(G39&lt;TODAY(),"فات الموعد",IF(G39-TODAY()&lt;=14,"عاجل (≤14 يوم)","ساري")))</f>
        <v>فات الموعد</v>
      </c>
      <c r="K39" s="14" t="s">
        <v>16</v>
      </c>
      <c r="L39" s="17" t="s">
        <v>30</v>
      </c>
      <c r="M39" s="14" t="s">
        <v>198</v>
      </c>
      <c r="N39" s="14" t="s">
        <v>28</v>
      </c>
      <c r="O39" s="14" t="s">
        <v>36</v>
      </c>
    </row>
    <row r="40" customFormat="false" ht="15" hidden="false" customHeight="false" outlineLevel="0" collapsed="false">
      <c r="A40" s="9" t="n">
        <v>36</v>
      </c>
      <c r="B40" s="14" t="s">
        <v>193</v>
      </c>
      <c r="C40" s="14" t="s">
        <v>194</v>
      </c>
      <c r="D40" s="14" t="s">
        <v>199</v>
      </c>
      <c r="E40" s="14" t="s">
        <v>196</v>
      </c>
      <c r="F40" s="14" t="s">
        <v>116</v>
      </c>
      <c r="G40" s="15" t="n">
        <v>46295</v>
      </c>
      <c r="H40" s="14" t="s">
        <v>28</v>
      </c>
      <c r="I40" s="16" t="n">
        <f aca="true">IF(G40="","",G40-TODAY())</f>
        <v>-7</v>
      </c>
      <c r="J40" s="17" t="str">
        <f aca="true">IF(G40="","—",IF(G40&lt;TODAY(),"فات الموعد",IF(G40-TODAY()&lt;=14,"عاجل (≤14 يوم)","ساري")))</f>
        <v>فات الموعد</v>
      </c>
      <c r="K40" s="14" t="s">
        <v>16</v>
      </c>
      <c r="L40" s="17" t="s">
        <v>30</v>
      </c>
      <c r="M40" s="14" t="s">
        <v>200</v>
      </c>
      <c r="N40" s="14" t="s">
        <v>28</v>
      </c>
      <c r="O40" s="14" t="s">
        <v>36</v>
      </c>
    </row>
    <row r="41" customFormat="false" ht="23.85" hidden="false" customHeight="false" outlineLevel="0" collapsed="false">
      <c r="A41" s="9" t="n">
        <v>37</v>
      </c>
      <c r="B41" s="14" t="s">
        <v>201</v>
      </c>
      <c r="C41" s="14" t="s">
        <v>202</v>
      </c>
      <c r="D41" s="14" t="s">
        <v>203</v>
      </c>
      <c r="E41" s="14" t="s">
        <v>204</v>
      </c>
      <c r="F41" s="14" t="s">
        <v>116</v>
      </c>
      <c r="G41" s="15"/>
      <c r="H41" s="14" t="s">
        <v>28</v>
      </c>
      <c r="I41" s="16" t="str">
        <f aca="true">IF(G41="","",G41-TODAY())</f>
        <v/>
      </c>
      <c r="J41" s="17" t="str">
        <f aca="true">IF(G41="","—",IF(G41&lt;TODAY(),"فات الموعد",IF(G41-TODAY()&lt;=14,"عاجل (≤14 يوم)","ساري")))</f>
        <v>—</v>
      </c>
      <c r="K41" s="14" t="s">
        <v>6</v>
      </c>
      <c r="L41" s="17" t="s">
        <v>30</v>
      </c>
      <c r="M41" s="14" t="s">
        <v>205</v>
      </c>
      <c r="N41" s="14" t="s">
        <v>28</v>
      </c>
      <c r="O41" s="14" t="s">
        <v>36</v>
      </c>
    </row>
    <row r="42" customFormat="false" ht="15" hidden="false" customHeight="false" outlineLevel="0" collapsed="false">
      <c r="A42" s="9" t="n">
        <v>38</v>
      </c>
      <c r="B42" s="14" t="s">
        <v>201</v>
      </c>
      <c r="C42" s="14" t="s">
        <v>206</v>
      </c>
      <c r="D42" s="14" t="s">
        <v>207</v>
      </c>
      <c r="E42" s="14" t="s">
        <v>208</v>
      </c>
      <c r="F42" s="14" t="s">
        <v>116</v>
      </c>
      <c r="G42" s="15" t="n">
        <v>46234</v>
      </c>
      <c r="H42" s="14" t="s">
        <v>209</v>
      </c>
      <c r="I42" s="16" t="n">
        <f aca="true">IF(G42="","",G42-TODAY())</f>
        <v>-68</v>
      </c>
      <c r="J42" s="17" t="str">
        <f aca="true">IF(G42="","—",IF(G42&lt;TODAY(),"فات الموعد",IF(G42-TODAY()&lt;=14,"عاجل (≤14 يوم)","ساري")))</f>
        <v>فات الموعد</v>
      </c>
      <c r="K42" s="14" t="s">
        <v>6</v>
      </c>
      <c r="L42" s="17" t="s">
        <v>30</v>
      </c>
      <c r="M42" s="14" t="s">
        <v>148</v>
      </c>
      <c r="N42" s="14" t="s">
        <v>28</v>
      </c>
      <c r="O42" s="14" t="s">
        <v>36</v>
      </c>
    </row>
    <row r="43" customFormat="false" ht="15" hidden="false" customHeight="false" outlineLevel="0" collapsed="false">
      <c r="A43" s="9" t="n">
        <v>39</v>
      </c>
      <c r="B43" s="14" t="s">
        <v>201</v>
      </c>
      <c r="C43" s="14" t="s">
        <v>210</v>
      </c>
      <c r="D43" s="14" t="s">
        <v>211</v>
      </c>
      <c r="E43" s="14" t="s">
        <v>212</v>
      </c>
      <c r="F43" s="14" t="s">
        <v>116</v>
      </c>
      <c r="G43" s="15" t="n">
        <v>46295</v>
      </c>
      <c r="H43" s="14" t="s">
        <v>28</v>
      </c>
      <c r="I43" s="16" t="n">
        <f aca="true">IF(G43="","",G43-TODAY())</f>
        <v>-7</v>
      </c>
      <c r="J43" s="17" t="str">
        <f aca="true">IF(G43="","—",IF(G43&lt;TODAY(),"فات الموعد",IF(G43-TODAY()&lt;=14,"عاجل (≤14 يوم)","ساري")))</f>
        <v>فات الموعد</v>
      </c>
      <c r="K43" s="14" t="s">
        <v>16</v>
      </c>
      <c r="L43" s="17" t="s">
        <v>31</v>
      </c>
      <c r="M43" s="14" t="s">
        <v>213</v>
      </c>
      <c r="N43" s="14" t="s">
        <v>28</v>
      </c>
      <c r="O43" s="14" t="s">
        <v>37</v>
      </c>
    </row>
    <row r="44" customFormat="false" ht="23.85" hidden="false" customHeight="false" outlineLevel="0" collapsed="false">
      <c r="A44" s="9" t="n">
        <v>40</v>
      </c>
      <c r="B44" s="14" t="s">
        <v>201</v>
      </c>
      <c r="C44" s="14" t="s">
        <v>214</v>
      </c>
      <c r="D44" s="14" t="s">
        <v>215</v>
      </c>
      <c r="E44" s="14" t="s">
        <v>216</v>
      </c>
      <c r="F44" s="14" t="s">
        <v>28</v>
      </c>
      <c r="G44" s="15"/>
      <c r="H44" s="14" t="s">
        <v>217</v>
      </c>
      <c r="I44" s="16" t="str">
        <f aca="true">IF(G44="","",G44-TODAY())</f>
        <v/>
      </c>
      <c r="J44" s="17" t="str">
        <f aca="true">IF(G44="","—",IF(G44&lt;TODAY(),"فات الموعد",IF(G44-TODAY()&lt;=14,"عاجل (≤14 يوم)","ساري")))</f>
        <v>—</v>
      </c>
      <c r="K44" s="14" t="s">
        <v>14</v>
      </c>
      <c r="L44" s="17" t="s">
        <v>31</v>
      </c>
      <c r="M44" s="14" t="s">
        <v>218</v>
      </c>
      <c r="N44" s="14" t="s">
        <v>28</v>
      </c>
      <c r="O44" s="14" t="s">
        <v>37</v>
      </c>
    </row>
    <row r="45" customFormat="false" ht="15" hidden="false" customHeight="false" outlineLevel="0" collapsed="false">
      <c r="A45" s="9" t="n">
        <v>41</v>
      </c>
      <c r="B45" s="14" t="s">
        <v>219</v>
      </c>
      <c r="C45" s="14" t="s">
        <v>220</v>
      </c>
      <c r="D45" s="14" t="s">
        <v>221</v>
      </c>
      <c r="E45" s="14" t="s">
        <v>222</v>
      </c>
      <c r="F45" s="14" t="s">
        <v>28</v>
      </c>
      <c r="G45" s="15" t="n">
        <v>45641</v>
      </c>
      <c r="H45" s="14" t="s">
        <v>28</v>
      </c>
      <c r="I45" s="16" t="n">
        <f aca="true">IF(G45="","",G45-TODAY())</f>
        <v>-661</v>
      </c>
      <c r="J45" s="17" t="str">
        <f aca="true">IF(G45="","—",IF(G45&lt;TODAY(),"فات الموعد",IF(G45-TODAY()&lt;=14,"عاجل (≤14 يوم)","ساري")))</f>
        <v>فات الموعد</v>
      </c>
      <c r="K45" s="14" t="s">
        <v>18</v>
      </c>
      <c r="L45" s="17" t="s">
        <v>28</v>
      </c>
      <c r="M45" s="14" t="s">
        <v>223</v>
      </c>
      <c r="N45" s="14" t="s">
        <v>28</v>
      </c>
      <c r="O45" s="14" t="s">
        <v>34</v>
      </c>
    </row>
    <row r="46" customFormat="false" ht="15" hidden="false" customHeight="false" outlineLevel="0" collapsed="false">
      <c r="A46" s="9" t="n">
        <v>42</v>
      </c>
      <c r="B46" s="14" t="s">
        <v>219</v>
      </c>
      <c r="C46" s="14" t="s">
        <v>220</v>
      </c>
      <c r="D46" s="14" t="s">
        <v>224</v>
      </c>
      <c r="E46" s="14" t="s">
        <v>103</v>
      </c>
      <c r="F46" s="14" t="s">
        <v>28</v>
      </c>
      <c r="G46" s="15" t="n">
        <v>46190</v>
      </c>
      <c r="H46" s="14" t="s">
        <v>28</v>
      </c>
      <c r="I46" s="16" t="n">
        <f aca="true">IF(G46="","",G46-TODAY())</f>
        <v>-112</v>
      </c>
      <c r="J46" s="17" t="str">
        <f aca="true">IF(G46="","—",IF(G46&lt;TODAY(),"فات الموعد",IF(G46-TODAY()&lt;=14,"عاجل (≤14 يوم)","ساري")))</f>
        <v>فات الموعد</v>
      </c>
      <c r="K46" s="14" t="s">
        <v>18</v>
      </c>
      <c r="L46" s="17" t="s">
        <v>28</v>
      </c>
      <c r="M46" s="14" t="s">
        <v>225</v>
      </c>
      <c r="N46" s="14" t="s">
        <v>28</v>
      </c>
      <c r="O46" s="14" t="s">
        <v>36</v>
      </c>
    </row>
    <row r="47" customFormat="false" ht="23.85" hidden="false" customHeight="false" outlineLevel="0" collapsed="false">
      <c r="A47" s="9" t="n">
        <v>43</v>
      </c>
      <c r="B47" s="14" t="s">
        <v>219</v>
      </c>
      <c r="C47" s="14" t="s">
        <v>220</v>
      </c>
      <c r="D47" s="14" t="s">
        <v>226</v>
      </c>
      <c r="E47" s="14" t="s">
        <v>227</v>
      </c>
      <c r="F47" s="14" t="s">
        <v>116</v>
      </c>
      <c r="G47" s="15" t="n">
        <v>46289</v>
      </c>
      <c r="H47" s="14" t="s">
        <v>28</v>
      </c>
      <c r="I47" s="16" t="n">
        <f aca="true">IF(G47="","",G47-TODAY())</f>
        <v>-13</v>
      </c>
      <c r="J47" s="17" t="str">
        <f aca="true">IF(G47="","—",IF(G47&lt;TODAY(),"فات الموعد",IF(G47-TODAY()&lt;=14,"عاجل (≤14 يوم)","ساري")))</f>
        <v>فات الموعد</v>
      </c>
      <c r="K47" s="14" t="s">
        <v>16</v>
      </c>
      <c r="L47" s="17" t="s">
        <v>31</v>
      </c>
      <c r="M47" s="14" t="s">
        <v>213</v>
      </c>
      <c r="N47" s="14" t="s">
        <v>28</v>
      </c>
      <c r="O47" s="14" t="s">
        <v>37</v>
      </c>
    </row>
    <row r="48" customFormat="false" ht="15" hidden="false" customHeight="false" outlineLevel="0" collapsed="false">
      <c r="A48" s="9" t="n">
        <v>44</v>
      </c>
      <c r="B48" s="14" t="s">
        <v>219</v>
      </c>
      <c r="C48" s="14" t="s">
        <v>220</v>
      </c>
      <c r="D48" s="14" t="s">
        <v>228</v>
      </c>
      <c r="E48" s="14" t="s">
        <v>229</v>
      </c>
      <c r="F48" s="14" t="s">
        <v>28</v>
      </c>
      <c r="G48" s="15"/>
      <c r="H48" s="14" t="s">
        <v>28</v>
      </c>
      <c r="I48" s="16" t="str">
        <f aca="true">IF(G48="","",G48-TODAY())</f>
        <v/>
      </c>
      <c r="J48" s="17" t="str">
        <f aca="true">IF(G48="","—",IF(G48&lt;TODAY(),"فات الموعد",IF(G48-TODAY()&lt;=14,"عاجل (≤14 يوم)","ساري")))</f>
        <v>—</v>
      </c>
      <c r="K48" s="14" t="s">
        <v>16</v>
      </c>
      <c r="L48" s="17" t="s">
        <v>32</v>
      </c>
      <c r="M48" s="14" t="s">
        <v>230</v>
      </c>
      <c r="N48" s="14" t="s">
        <v>28</v>
      </c>
      <c r="O48" s="14" t="s">
        <v>38</v>
      </c>
    </row>
    <row r="49" customFormat="false" ht="23.85" hidden="false" customHeight="false" outlineLevel="0" collapsed="false">
      <c r="A49" s="9" t="n">
        <v>45</v>
      </c>
      <c r="B49" s="14" t="s">
        <v>219</v>
      </c>
      <c r="C49" s="14" t="s">
        <v>231</v>
      </c>
      <c r="D49" s="14" t="s">
        <v>232</v>
      </c>
      <c r="E49" s="14" t="s">
        <v>233</v>
      </c>
      <c r="F49" s="14" t="s">
        <v>234</v>
      </c>
      <c r="G49" s="15"/>
      <c r="H49" s="14" t="s">
        <v>28</v>
      </c>
      <c r="I49" s="16" t="str">
        <f aca="true">IF(G49="","",G49-TODAY())</f>
        <v/>
      </c>
      <c r="J49" s="17" t="str">
        <f aca="true">IF(G49="","—",IF(G49&lt;TODAY(),"فات الموعد",IF(G49-TODAY()&lt;=14,"عاجل (≤14 يوم)","ساري")))</f>
        <v>—</v>
      </c>
      <c r="K49" s="14" t="s">
        <v>12</v>
      </c>
      <c r="L49" s="17" t="s">
        <v>31</v>
      </c>
      <c r="M49" s="14" t="s">
        <v>235</v>
      </c>
      <c r="N49" s="14" t="s">
        <v>28</v>
      </c>
      <c r="O49" s="14" t="s">
        <v>37</v>
      </c>
    </row>
    <row r="50" customFormat="false" ht="15" hidden="false" customHeight="false" outlineLevel="0" collapsed="false">
      <c r="A50" s="9" t="n">
        <v>46</v>
      </c>
      <c r="B50" s="14" t="s">
        <v>219</v>
      </c>
      <c r="C50" s="14" t="s">
        <v>236</v>
      </c>
      <c r="D50" s="14" t="s">
        <v>237</v>
      </c>
      <c r="E50" s="14" t="s">
        <v>238</v>
      </c>
      <c r="F50" s="14" t="s">
        <v>28</v>
      </c>
      <c r="G50" s="15"/>
      <c r="H50" s="14" t="s">
        <v>28</v>
      </c>
      <c r="I50" s="16" t="str">
        <f aca="true">IF(G50="","",G50-TODAY())</f>
        <v/>
      </c>
      <c r="J50" s="17" t="str">
        <f aca="true">IF(G50="","—",IF(G50&lt;TODAY(),"فات الموعد",IF(G50-TODAY()&lt;=14,"عاجل (≤14 يوم)","ساري")))</f>
        <v>—</v>
      </c>
      <c r="K50" s="14" t="s">
        <v>12</v>
      </c>
      <c r="L50" s="17" t="s">
        <v>32</v>
      </c>
      <c r="M50" s="14" t="s">
        <v>189</v>
      </c>
      <c r="N50" s="14" t="s">
        <v>28</v>
      </c>
      <c r="O50" s="14" t="s">
        <v>37</v>
      </c>
    </row>
    <row r="51" customFormat="false" ht="15" hidden="false" customHeight="false" outlineLevel="0" collapsed="false">
      <c r="A51" s="9" t="n">
        <v>47</v>
      </c>
      <c r="B51" s="14" t="s">
        <v>219</v>
      </c>
      <c r="C51" s="14" t="s">
        <v>239</v>
      </c>
      <c r="D51" s="14" t="s">
        <v>240</v>
      </c>
      <c r="E51" s="14" t="s">
        <v>241</v>
      </c>
      <c r="F51" s="14" t="s">
        <v>242</v>
      </c>
      <c r="G51" s="15" t="n">
        <v>46265</v>
      </c>
      <c r="H51" s="14" t="s">
        <v>243</v>
      </c>
      <c r="I51" s="16" t="n">
        <f aca="true">IF(G51="","",G51-TODAY())</f>
        <v>-37</v>
      </c>
      <c r="J51" s="17" t="str">
        <f aca="true">IF(G51="","—",IF(G51&lt;TODAY(),"فات الموعد",IF(G51-TODAY()&lt;=14,"عاجل (≤14 يوم)","ساري")))</f>
        <v>فات الموعد</v>
      </c>
      <c r="K51" s="14" t="s">
        <v>18</v>
      </c>
      <c r="L51" s="17" t="s">
        <v>32</v>
      </c>
      <c r="M51" s="14" t="s">
        <v>244</v>
      </c>
      <c r="N51" s="14" t="s">
        <v>28</v>
      </c>
      <c r="O51" s="14" t="s">
        <v>37</v>
      </c>
    </row>
    <row r="52" customFormat="false" ht="15" hidden="false" customHeight="false" outlineLevel="0" collapsed="false">
      <c r="A52" s="9" t="n">
        <v>48</v>
      </c>
      <c r="B52" s="14" t="s">
        <v>245</v>
      </c>
      <c r="C52" s="14" t="s">
        <v>246</v>
      </c>
      <c r="D52" s="14" t="s">
        <v>247</v>
      </c>
      <c r="E52" s="14" t="s">
        <v>248</v>
      </c>
      <c r="F52" s="14" t="s">
        <v>116</v>
      </c>
      <c r="G52" s="15" t="n">
        <v>46288</v>
      </c>
      <c r="H52" s="14" t="s">
        <v>249</v>
      </c>
      <c r="I52" s="16" t="n">
        <f aca="true">IF(G52="","",G52-TODAY())</f>
        <v>-14</v>
      </c>
      <c r="J52" s="17" t="str">
        <f aca="true">IF(G52="","—",IF(G52&lt;TODAY(),"فات الموعد",IF(G52-TODAY()&lt;=14,"عاجل (≤14 يوم)","ساري")))</f>
        <v>فات الموعد</v>
      </c>
      <c r="K52" s="14" t="s">
        <v>6</v>
      </c>
      <c r="L52" s="17" t="s">
        <v>30</v>
      </c>
      <c r="M52" s="14" t="s">
        <v>250</v>
      </c>
      <c r="N52" s="14" t="s">
        <v>28</v>
      </c>
      <c r="O52" s="14" t="s">
        <v>35</v>
      </c>
    </row>
    <row r="53" customFormat="false" ht="15" hidden="false" customHeight="false" outlineLevel="0" collapsed="false">
      <c r="A53" s="9" t="n">
        <v>49</v>
      </c>
      <c r="B53" s="14" t="s">
        <v>245</v>
      </c>
      <c r="C53" s="14" t="s">
        <v>251</v>
      </c>
      <c r="D53" s="14" t="s">
        <v>252</v>
      </c>
      <c r="E53" s="14" t="s">
        <v>253</v>
      </c>
      <c r="F53" s="14" t="s">
        <v>28</v>
      </c>
      <c r="G53" s="15" t="n">
        <v>46166</v>
      </c>
      <c r="H53" s="14" t="s">
        <v>28</v>
      </c>
      <c r="I53" s="16" t="n">
        <f aca="true">IF(G53="","",G53-TODAY())</f>
        <v>-136</v>
      </c>
      <c r="J53" s="17" t="str">
        <f aca="true">IF(G53="","—",IF(G53&lt;TODAY(),"فات الموعد",IF(G53-TODAY()&lt;=14,"عاجل (≤14 يوم)","ساري")))</f>
        <v>فات الموعد</v>
      </c>
      <c r="K53" s="14" t="s">
        <v>18</v>
      </c>
      <c r="L53" s="17" t="s">
        <v>28</v>
      </c>
      <c r="M53" s="14" t="s">
        <v>254</v>
      </c>
      <c r="N53" s="14" t="s">
        <v>28</v>
      </c>
      <c r="O53" s="14" t="s">
        <v>34</v>
      </c>
    </row>
    <row r="54" customFormat="false" ht="23.85" hidden="false" customHeight="false" outlineLevel="0" collapsed="false">
      <c r="A54" s="9" t="n">
        <v>50</v>
      </c>
      <c r="B54" s="14" t="s">
        <v>245</v>
      </c>
      <c r="C54" s="14" t="s">
        <v>255</v>
      </c>
      <c r="D54" s="14" t="s">
        <v>256</v>
      </c>
      <c r="E54" s="14" t="s">
        <v>257</v>
      </c>
      <c r="F54" s="14" t="s">
        <v>258</v>
      </c>
      <c r="G54" s="15"/>
      <c r="H54" s="14" t="s">
        <v>188</v>
      </c>
      <c r="I54" s="16" t="str">
        <f aca="true">IF(G54="","",G54-TODAY())</f>
        <v/>
      </c>
      <c r="J54" s="17" t="str">
        <f aca="true">IF(G54="","—",IF(G54&lt;TODAY(),"فات الموعد",IF(G54-TODAY()&lt;=14,"عاجل (≤14 يوم)","ساري")))</f>
        <v>—</v>
      </c>
      <c r="K54" s="14" t="s">
        <v>12</v>
      </c>
      <c r="L54" s="17" t="s">
        <v>30</v>
      </c>
      <c r="M54" s="14" t="s">
        <v>259</v>
      </c>
      <c r="N54" s="14" t="s">
        <v>28</v>
      </c>
      <c r="O54" s="14" t="s">
        <v>37</v>
      </c>
    </row>
    <row r="55" customFormat="false" ht="15" hidden="false" customHeight="false" outlineLevel="0" collapsed="false">
      <c r="A55" s="9" t="n">
        <v>51</v>
      </c>
      <c r="B55" s="14" t="s">
        <v>245</v>
      </c>
      <c r="C55" s="14" t="s">
        <v>260</v>
      </c>
      <c r="D55" s="14" t="s">
        <v>28</v>
      </c>
      <c r="E55" s="14" t="s">
        <v>103</v>
      </c>
      <c r="F55" s="14" t="s">
        <v>28</v>
      </c>
      <c r="G55" s="15" t="n">
        <v>46234</v>
      </c>
      <c r="H55" s="14" t="s">
        <v>28</v>
      </c>
      <c r="I55" s="16" t="n">
        <f aca="true">IF(G55="","",G55-TODAY())</f>
        <v>-68</v>
      </c>
      <c r="J55" s="17" t="str">
        <f aca="true">IF(G55="","—",IF(G55&lt;TODAY(),"فات الموعد",IF(G55-TODAY()&lt;=14,"عاجل (≤14 يوم)","ساري")))</f>
        <v>فات الموعد</v>
      </c>
      <c r="K55" s="14" t="s">
        <v>18</v>
      </c>
      <c r="L55" s="17" t="s">
        <v>28</v>
      </c>
      <c r="M55" s="14" t="s">
        <v>261</v>
      </c>
      <c r="N55" s="14" t="s">
        <v>28</v>
      </c>
      <c r="O55" s="14" t="s">
        <v>36</v>
      </c>
    </row>
    <row r="56" customFormat="false" ht="23.85" hidden="false" customHeight="false" outlineLevel="0" collapsed="false">
      <c r="A56" s="9" t="n">
        <v>52</v>
      </c>
      <c r="B56" s="14" t="s">
        <v>245</v>
      </c>
      <c r="C56" s="14" t="s">
        <v>262</v>
      </c>
      <c r="D56" s="14" t="s">
        <v>263</v>
      </c>
      <c r="E56" s="14" t="s">
        <v>264</v>
      </c>
      <c r="F56" s="14" t="s">
        <v>265</v>
      </c>
      <c r="G56" s="15"/>
      <c r="H56" s="14" t="s">
        <v>188</v>
      </c>
      <c r="I56" s="16" t="str">
        <f aca="true">IF(G56="","",G56-TODAY())</f>
        <v/>
      </c>
      <c r="J56" s="17" t="str">
        <f aca="true">IF(G56="","—",IF(G56&lt;TODAY(),"فات الموعد",IF(G56-TODAY()&lt;=14,"عاجل (≤14 يوم)","ساري")))</f>
        <v>—</v>
      </c>
      <c r="K56" s="14" t="s">
        <v>16</v>
      </c>
      <c r="L56" s="17" t="s">
        <v>31</v>
      </c>
      <c r="M56" s="14" t="s">
        <v>266</v>
      </c>
      <c r="N56" s="14" t="s">
        <v>28</v>
      </c>
      <c r="O56" s="14" t="s">
        <v>37</v>
      </c>
    </row>
    <row r="57" customFormat="false" ht="15" hidden="false" customHeight="false" outlineLevel="0" collapsed="false">
      <c r="A57" s="9" t="n">
        <v>53</v>
      </c>
      <c r="B57" s="14" t="s">
        <v>245</v>
      </c>
      <c r="C57" s="14" t="s">
        <v>267</v>
      </c>
      <c r="D57" s="14" t="s">
        <v>268</v>
      </c>
      <c r="E57" s="14" t="s">
        <v>269</v>
      </c>
      <c r="F57" s="14" t="s">
        <v>116</v>
      </c>
      <c r="G57" s="15" t="n">
        <v>46237</v>
      </c>
      <c r="H57" s="14" t="s">
        <v>28</v>
      </c>
      <c r="I57" s="16" t="n">
        <f aca="true">IF(G57="","",G57-TODAY())</f>
        <v>-65</v>
      </c>
      <c r="J57" s="17" t="str">
        <f aca="true">IF(G57="","—",IF(G57&lt;TODAY(),"فات الموعد",IF(G57-TODAY()&lt;=14,"عاجل (≤14 يوم)","ساري")))</f>
        <v>فات الموعد</v>
      </c>
      <c r="K57" s="14" t="s">
        <v>18</v>
      </c>
      <c r="L57" s="17" t="s">
        <v>28</v>
      </c>
      <c r="M57" s="14" t="s">
        <v>254</v>
      </c>
      <c r="N57" s="14" t="s">
        <v>28</v>
      </c>
      <c r="O57" s="14" t="s">
        <v>37</v>
      </c>
    </row>
    <row r="58" customFormat="false" ht="15" hidden="false" customHeight="false" outlineLevel="0" collapsed="false">
      <c r="A58" s="9" t="n">
        <v>54</v>
      </c>
      <c r="B58" s="14" t="s">
        <v>245</v>
      </c>
      <c r="C58" s="14" t="s">
        <v>270</v>
      </c>
      <c r="D58" s="14" t="s">
        <v>28</v>
      </c>
      <c r="E58" s="14" t="s">
        <v>28</v>
      </c>
      <c r="F58" s="14" t="s">
        <v>28</v>
      </c>
      <c r="G58" s="15"/>
      <c r="H58" s="14" t="s">
        <v>28</v>
      </c>
      <c r="I58" s="16" t="str">
        <f aca="true">IF(G58="","",G58-TODAY())</f>
        <v/>
      </c>
      <c r="J58" s="17" t="str">
        <f aca="true">IF(G58="","—",IF(G58&lt;TODAY(),"فات الموعد",IF(G58-TODAY()&lt;=14,"عاجل (≤14 يوم)","ساري")))</f>
        <v>—</v>
      </c>
      <c r="K58" s="14" t="s">
        <v>20</v>
      </c>
      <c r="L58" s="17" t="s">
        <v>28</v>
      </c>
      <c r="M58" s="14" t="s">
        <v>271</v>
      </c>
      <c r="N58" s="14" t="s">
        <v>28</v>
      </c>
      <c r="O58" s="14" t="s">
        <v>36</v>
      </c>
    </row>
    <row r="59" customFormat="false" ht="23.85" hidden="false" customHeight="false" outlineLevel="0" collapsed="false">
      <c r="A59" s="9" t="n">
        <v>55</v>
      </c>
      <c r="B59" s="14" t="s">
        <v>272</v>
      </c>
      <c r="C59" s="14" t="s">
        <v>273</v>
      </c>
      <c r="D59" s="14" t="s">
        <v>274</v>
      </c>
      <c r="E59" s="14" t="s">
        <v>275</v>
      </c>
      <c r="F59" s="14" t="s">
        <v>116</v>
      </c>
      <c r="G59" s="15" t="n">
        <v>46281</v>
      </c>
      <c r="H59" s="14" t="s">
        <v>28</v>
      </c>
      <c r="I59" s="16" t="n">
        <f aca="true">IF(G59="","",G59-TODAY())</f>
        <v>-21</v>
      </c>
      <c r="J59" s="17" t="str">
        <f aca="true">IF(G59="","—",IF(G59&lt;TODAY(),"فات الموعد",IF(G59-TODAY()&lt;=14,"عاجل (≤14 يوم)","ساري")))</f>
        <v>فات الموعد</v>
      </c>
      <c r="K59" s="14" t="s">
        <v>10</v>
      </c>
      <c r="L59" s="17" t="s">
        <v>30</v>
      </c>
      <c r="M59" s="14" t="s">
        <v>276</v>
      </c>
      <c r="N59" s="14" t="s">
        <v>277</v>
      </c>
      <c r="O59" s="14" t="s">
        <v>34</v>
      </c>
    </row>
    <row r="60" customFormat="false" ht="23.85" hidden="false" customHeight="false" outlineLevel="0" collapsed="false">
      <c r="A60" s="9" t="n">
        <v>56</v>
      </c>
      <c r="B60" s="14" t="s">
        <v>272</v>
      </c>
      <c r="C60" s="14" t="s">
        <v>273</v>
      </c>
      <c r="D60" s="14" t="s">
        <v>278</v>
      </c>
      <c r="E60" s="14" t="s">
        <v>279</v>
      </c>
      <c r="F60" s="14" t="s">
        <v>116</v>
      </c>
      <c r="G60" s="15" t="n">
        <v>46281</v>
      </c>
      <c r="H60" s="14" t="s">
        <v>28</v>
      </c>
      <c r="I60" s="16" t="n">
        <f aca="true">IF(G60="","",G60-TODAY())</f>
        <v>-21</v>
      </c>
      <c r="J60" s="17" t="str">
        <f aca="true">IF(G60="","—",IF(G60&lt;TODAY(),"فات الموعد",IF(G60-TODAY()&lt;=14,"عاجل (≤14 يوم)","ساري")))</f>
        <v>فات الموعد</v>
      </c>
      <c r="K60" s="14" t="s">
        <v>16</v>
      </c>
      <c r="L60" s="17" t="s">
        <v>30</v>
      </c>
      <c r="M60" s="14" t="s">
        <v>280</v>
      </c>
      <c r="N60" s="14" t="s">
        <v>28</v>
      </c>
      <c r="O60" s="14" t="s">
        <v>37</v>
      </c>
    </row>
    <row r="61" customFormat="false" ht="15" hidden="false" customHeight="false" outlineLevel="0" collapsed="false">
      <c r="A61" s="9" t="n">
        <v>57</v>
      </c>
      <c r="B61" s="14" t="s">
        <v>272</v>
      </c>
      <c r="C61" s="14" t="s">
        <v>281</v>
      </c>
      <c r="D61" s="14" t="s">
        <v>282</v>
      </c>
      <c r="E61" s="14" t="s">
        <v>103</v>
      </c>
      <c r="F61" s="14" t="s">
        <v>28</v>
      </c>
      <c r="G61" s="15"/>
      <c r="H61" s="14" t="s">
        <v>283</v>
      </c>
      <c r="I61" s="16" t="str">
        <f aca="true">IF(G61="","",G61-TODAY())</f>
        <v/>
      </c>
      <c r="J61" s="17" t="str">
        <f aca="true">IF(G61="","—",IF(G61&lt;TODAY(),"فات الموعد",IF(G61-TODAY()&lt;=14,"عاجل (≤14 يوم)","ساري")))</f>
        <v>—</v>
      </c>
      <c r="K61" s="14" t="s">
        <v>14</v>
      </c>
      <c r="L61" s="17" t="s">
        <v>31</v>
      </c>
      <c r="M61" s="14" t="s">
        <v>284</v>
      </c>
      <c r="N61" s="14" t="s">
        <v>28</v>
      </c>
      <c r="O61" s="14" t="s">
        <v>36</v>
      </c>
    </row>
    <row r="62" customFormat="false" ht="15" hidden="false" customHeight="false" outlineLevel="0" collapsed="false">
      <c r="A62" s="9" t="n">
        <v>58</v>
      </c>
      <c r="B62" s="14" t="s">
        <v>285</v>
      </c>
      <c r="C62" s="14" t="s">
        <v>286</v>
      </c>
      <c r="D62" s="14" t="s">
        <v>287</v>
      </c>
      <c r="E62" s="14" t="s">
        <v>288</v>
      </c>
      <c r="F62" s="14" t="s">
        <v>116</v>
      </c>
      <c r="G62" s="15" t="n">
        <v>46265</v>
      </c>
      <c r="H62" s="14" t="s">
        <v>289</v>
      </c>
      <c r="I62" s="16" t="n">
        <f aca="true">IF(G62="","",G62-TODAY())</f>
        <v>-37</v>
      </c>
      <c r="J62" s="17" t="str">
        <f aca="true">IF(G62="","—",IF(G62&lt;TODAY(),"فات الموعد",IF(G62-TODAY()&lt;=14,"عاجل (≤14 يوم)","ساري")))</f>
        <v>فات الموعد</v>
      </c>
      <c r="K62" s="14" t="s">
        <v>16</v>
      </c>
      <c r="L62" s="17" t="s">
        <v>31</v>
      </c>
      <c r="M62" s="14" t="s">
        <v>290</v>
      </c>
      <c r="N62" s="14" t="s">
        <v>291</v>
      </c>
      <c r="O62" s="14" t="s">
        <v>35</v>
      </c>
    </row>
    <row r="63" customFormat="false" ht="15" hidden="false" customHeight="false" outlineLevel="0" collapsed="false">
      <c r="A63" s="9" t="n">
        <v>59</v>
      </c>
      <c r="B63" s="14" t="s">
        <v>285</v>
      </c>
      <c r="C63" s="14" t="s">
        <v>286</v>
      </c>
      <c r="D63" s="14" t="s">
        <v>292</v>
      </c>
      <c r="E63" s="14" t="s">
        <v>293</v>
      </c>
      <c r="F63" s="14" t="s">
        <v>116</v>
      </c>
      <c r="G63" s="15" t="n">
        <v>46245</v>
      </c>
      <c r="H63" s="14" t="s">
        <v>28</v>
      </c>
      <c r="I63" s="16" t="n">
        <f aca="true">IF(G63="","",G63-TODAY())</f>
        <v>-57</v>
      </c>
      <c r="J63" s="17" t="str">
        <f aca="true">IF(G63="","—",IF(G63&lt;TODAY(),"فات الموعد",IF(G63-TODAY()&lt;=14,"عاجل (≤14 يوم)","ساري")))</f>
        <v>فات الموعد</v>
      </c>
      <c r="K63" s="14" t="s">
        <v>18</v>
      </c>
      <c r="L63" s="17" t="s">
        <v>28</v>
      </c>
      <c r="M63" s="14" t="s">
        <v>294</v>
      </c>
      <c r="N63" s="14" t="s">
        <v>28</v>
      </c>
      <c r="O63" s="14" t="s">
        <v>36</v>
      </c>
    </row>
    <row r="64" customFormat="false" ht="23.85" hidden="false" customHeight="false" outlineLevel="0" collapsed="false">
      <c r="A64" s="9" t="n">
        <v>60</v>
      </c>
      <c r="B64" s="14" t="s">
        <v>285</v>
      </c>
      <c r="C64" s="14" t="s">
        <v>295</v>
      </c>
      <c r="D64" s="14" t="s">
        <v>296</v>
      </c>
      <c r="E64" s="14" t="s">
        <v>297</v>
      </c>
      <c r="F64" s="14" t="s">
        <v>298</v>
      </c>
      <c r="G64" s="15"/>
      <c r="H64" s="14" t="s">
        <v>188</v>
      </c>
      <c r="I64" s="16" t="str">
        <f aca="true">IF(G64="","",G64-TODAY())</f>
        <v/>
      </c>
      <c r="J64" s="17" t="str">
        <f aca="true">IF(G64="","—",IF(G64&lt;TODAY(),"فات الموعد",IF(G64-TODAY()&lt;=14,"عاجل (≤14 يوم)","ساري")))</f>
        <v>—</v>
      </c>
      <c r="K64" s="14" t="s">
        <v>12</v>
      </c>
      <c r="L64" s="17" t="s">
        <v>31</v>
      </c>
      <c r="M64" s="14" t="s">
        <v>189</v>
      </c>
      <c r="N64" s="14" t="s">
        <v>28</v>
      </c>
      <c r="O64" s="14" t="s">
        <v>37</v>
      </c>
    </row>
    <row r="65" customFormat="false" ht="15" hidden="false" customHeight="false" outlineLevel="0" collapsed="false">
      <c r="A65" s="9" t="n">
        <v>61</v>
      </c>
      <c r="B65" s="14" t="s">
        <v>285</v>
      </c>
      <c r="C65" s="14" t="s">
        <v>286</v>
      </c>
      <c r="D65" s="14" t="s">
        <v>299</v>
      </c>
      <c r="E65" s="14" t="s">
        <v>300</v>
      </c>
      <c r="F65" s="14" t="s">
        <v>116</v>
      </c>
      <c r="G65" s="15"/>
      <c r="H65" s="14" t="s">
        <v>28</v>
      </c>
      <c r="I65" s="16" t="str">
        <f aca="true">IF(G65="","",G65-TODAY())</f>
        <v/>
      </c>
      <c r="J65" s="17" t="str">
        <f aca="true">IF(G65="","—",IF(G65&lt;TODAY(),"فات الموعد",IF(G65-TODAY()&lt;=14,"عاجل (≤14 يوم)","ساري")))</f>
        <v>—</v>
      </c>
      <c r="K65" s="14" t="s">
        <v>12</v>
      </c>
      <c r="L65" s="17" t="s">
        <v>32</v>
      </c>
      <c r="M65" s="14" t="s">
        <v>301</v>
      </c>
      <c r="N65" s="14" t="s">
        <v>28</v>
      </c>
      <c r="O65" s="14" t="s">
        <v>37</v>
      </c>
    </row>
    <row r="66" customFormat="false" ht="15" hidden="false" customHeight="false" outlineLevel="0" collapsed="false">
      <c r="A66" s="9" t="n">
        <v>62</v>
      </c>
      <c r="B66" s="14" t="s">
        <v>285</v>
      </c>
      <c r="C66" s="14" t="s">
        <v>302</v>
      </c>
      <c r="D66" s="14" t="s">
        <v>303</v>
      </c>
      <c r="E66" s="14" t="s">
        <v>304</v>
      </c>
      <c r="F66" s="14" t="s">
        <v>28</v>
      </c>
      <c r="G66" s="15"/>
      <c r="H66" s="14" t="s">
        <v>28</v>
      </c>
      <c r="I66" s="16" t="str">
        <f aca="true">IF(G66="","",G66-TODAY())</f>
        <v/>
      </c>
      <c r="J66" s="17" t="str">
        <f aca="true">IF(G66="","—",IF(G66&lt;TODAY(),"فات الموعد",IF(G66-TODAY()&lt;=14,"عاجل (≤14 يوم)","ساري")))</f>
        <v>—</v>
      </c>
      <c r="K66" s="14" t="s">
        <v>16</v>
      </c>
      <c r="L66" s="17" t="s">
        <v>32</v>
      </c>
      <c r="M66" s="14" t="s">
        <v>305</v>
      </c>
      <c r="N66" s="14" t="s">
        <v>28</v>
      </c>
      <c r="O66" s="14" t="s">
        <v>38</v>
      </c>
    </row>
    <row r="67" customFormat="false" ht="23.85" hidden="false" customHeight="false" outlineLevel="0" collapsed="false">
      <c r="A67" s="9" t="n">
        <v>63</v>
      </c>
      <c r="B67" s="14" t="s">
        <v>306</v>
      </c>
      <c r="C67" s="14" t="s">
        <v>307</v>
      </c>
      <c r="D67" s="14" t="s">
        <v>308</v>
      </c>
      <c r="E67" s="14" t="s">
        <v>309</v>
      </c>
      <c r="F67" s="14" t="s">
        <v>116</v>
      </c>
      <c r="G67" s="15" t="n">
        <v>46271</v>
      </c>
      <c r="H67" s="14" t="s">
        <v>28</v>
      </c>
      <c r="I67" s="16" t="n">
        <f aca="true">IF(G67="","",G67-TODAY())</f>
        <v>-31</v>
      </c>
      <c r="J67" s="17" t="str">
        <f aca="true">IF(G67="","—",IF(G67&lt;TODAY(),"فات الموعد",IF(G67-TODAY()&lt;=14,"عاجل (≤14 يوم)","ساري")))</f>
        <v>فات الموعد</v>
      </c>
      <c r="K67" s="14" t="s">
        <v>18</v>
      </c>
      <c r="L67" s="17" t="s">
        <v>32</v>
      </c>
      <c r="M67" s="14" t="s">
        <v>310</v>
      </c>
      <c r="N67" s="14" t="s">
        <v>28</v>
      </c>
      <c r="O67" s="14" t="s">
        <v>37</v>
      </c>
    </row>
    <row r="68" customFormat="false" ht="15" hidden="false" customHeight="false" outlineLevel="0" collapsed="false">
      <c r="A68" s="9" t="n">
        <v>64</v>
      </c>
      <c r="B68" s="14" t="s">
        <v>306</v>
      </c>
      <c r="C68" s="14" t="s">
        <v>311</v>
      </c>
      <c r="D68" s="14" t="s">
        <v>282</v>
      </c>
      <c r="E68" s="14" t="s">
        <v>103</v>
      </c>
      <c r="F68" s="14" t="s">
        <v>28</v>
      </c>
      <c r="G68" s="15"/>
      <c r="H68" s="14" t="s">
        <v>283</v>
      </c>
      <c r="I68" s="16" t="str">
        <f aca="true">IF(G68="","",G68-TODAY())</f>
        <v/>
      </c>
      <c r="J68" s="17" t="str">
        <f aca="true">IF(G68="","—",IF(G68&lt;TODAY(),"فات الموعد",IF(G68-TODAY()&lt;=14,"عاجل (≤14 يوم)","ساري")))</f>
        <v>—</v>
      </c>
      <c r="K68" s="14" t="s">
        <v>14</v>
      </c>
      <c r="L68" s="17" t="s">
        <v>31</v>
      </c>
      <c r="M68" s="14" t="s">
        <v>284</v>
      </c>
      <c r="N68" s="14" t="s">
        <v>28</v>
      </c>
      <c r="O68" s="14" t="s">
        <v>36</v>
      </c>
    </row>
    <row r="69" customFormat="false" ht="15" hidden="false" customHeight="false" outlineLevel="0" collapsed="false">
      <c r="A69" s="9" t="n">
        <v>65</v>
      </c>
      <c r="B69" s="14" t="s">
        <v>312</v>
      </c>
      <c r="C69" s="14" t="s">
        <v>313</v>
      </c>
      <c r="D69" s="14" t="s">
        <v>314</v>
      </c>
      <c r="E69" s="14" t="s">
        <v>103</v>
      </c>
      <c r="F69" s="14" t="s">
        <v>28</v>
      </c>
      <c r="G69" s="15"/>
      <c r="H69" s="14" t="s">
        <v>28</v>
      </c>
      <c r="I69" s="16" t="str">
        <f aca="true">IF(G69="","",G69-TODAY())</f>
        <v/>
      </c>
      <c r="J69" s="17" t="str">
        <f aca="true">IF(G69="","—",IF(G69&lt;TODAY(),"فات الموعد",IF(G69-TODAY()&lt;=14,"عاجل (≤14 يوم)","ساري")))</f>
        <v>—</v>
      </c>
      <c r="K69" s="14" t="s">
        <v>8</v>
      </c>
      <c r="L69" s="17" t="s">
        <v>30</v>
      </c>
      <c r="M69" s="14" t="s">
        <v>315</v>
      </c>
      <c r="N69" s="14" t="s">
        <v>28</v>
      </c>
      <c r="O69" s="14" t="s">
        <v>36</v>
      </c>
    </row>
    <row r="70" customFormat="false" ht="15" hidden="false" customHeight="false" outlineLevel="0" collapsed="false">
      <c r="A70" s="9" t="n">
        <v>66</v>
      </c>
      <c r="B70" s="14" t="s">
        <v>312</v>
      </c>
      <c r="C70" s="14" t="s">
        <v>316</v>
      </c>
      <c r="D70" s="14" t="s">
        <v>28</v>
      </c>
      <c r="E70" s="14" t="s">
        <v>103</v>
      </c>
      <c r="F70" s="14" t="s">
        <v>28</v>
      </c>
      <c r="G70" s="15"/>
      <c r="H70" s="14" t="s">
        <v>28</v>
      </c>
      <c r="I70" s="16" t="str">
        <f aca="true">IF(G70="","",G70-TODAY())</f>
        <v/>
      </c>
      <c r="J70" s="17" t="str">
        <f aca="true">IF(G70="","—",IF(G70&lt;TODAY(),"فات الموعد",IF(G70-TODAY()&lt;=14,"عاجل (≤14 يوم)","ساري")))</f>
        <v>—</v>
      </c>
      <c r="K70" s="14" t="s">
        <v>12</v>
      </c>
      <c r="L70" s="17" t="s">
        <v>31</v>
      </c>
      <c r="M70" s="14" t="s">
        <v>317</v>
      </c>
      <c r="N70" s="14" t="s">
        <v>28</v>
      </c>
      <c r="O70" s="14" t="s">
        <v>36</v>
      </c>
    </row>
    <row r="71" customFormat="false" ht="15" hidden="false" customHeight="false" outlineLevel="0" collapsed="false">
      <c r="A71" s="9" t="n">
        <v>67</v>
      </c>
      <c r="B71" s="14" t="s">
        <v>312</v>
      </c>
      <c r="C71" s="14" t="s">
        <v>318</v>
      </c>
      <c r="D71" s="14" t="s">
        <v>319</v>
      </c>
      <c r="E71" s="14" t="s">
        <v>320</v>
      </c>
      <c r="F71" s="14" t="s">
        <v>321</v>
      </c>
      <c r="G71" s="15"/>
      <c r="H71" s="14" t="s">
        <v>28</v>
      </c>
      <c r="I71" s="16" t="str">
        <f aca="true">IF(G71="","",G71-TODAY())</f>
        <v/>
      </c>
      <c r="J71" s="17" t="str">
        <f aca="true">IF(G71="","—",IF(G71&lt;TODAY(),"فات الموعد",IF(G71-TODAY()&lt;=14,"عاجل (≤14 يوم)","ساري")))</f>
        <v>—</v>
      </c>
      <c r="K71" s="14" t="s">
        <v>16</v>
      </c>
      <c r="L71" s="17" t="s">
        <v>31</v>
      </c>
      <c r="M71" s="14" t="s">
        <v>322</v>
      </c>
      <c r="N71" s="14" t="s">
        <v>28</v>
      </c>
      <c r="O71" s="14" t="s">
        <v>37</v>
      </c>
    </row>
    <row r="72" customFormat="false" ht="15" hidden="false" customHeight="false" outlineLevel="0" collapsed="false">
      <c r="A72" s="9" t="n">
        <v>68</v>
      </c>
      <c r="B72" s="14" t="s">
        <v>312</v>
      </c>
      <c r="C72" s="14" t="s">
        <v>323</v>
      </c>
      <c r="D72" s="14" t="s">
        <v>28</v>
      </c>
      <c r="E72" s="14" t="s">
        <v>324</v>
      </c>
      <c r="F72" s="14" t="s">
        <v>325</v>
      </c>
      <c r="G72" s="15" t="n">
        <v>46122</v>
      </c>
      <c r="H72" s="14" t="s">
        <v>28</v>
      </c>
      <c r="I72" s="16" t="n">
        <f aca="true">IF(G72="","",G72-TODAY())</f>
        <v>-180</v>
      </c>
      <c r="J72" s="17" t="str">
        <f aca="true">IF(G72="","—",IF(G72&lt;TODAY(),"فات الموعد",IF(G72-TODAY()&lt;=14,"عاجل (≤14 يوم)","ساري")))</f>
        <v>فات الموعد</v>
      </c>
      <c r="K72" s="14" t="s">
        <v>18</v>
      </c>
      <c r="L72" s="17" t="s">
        <v>28</v>
      </c>
      <c r="M72" s="14" t="s">
        <v>261</v>
      </c>
      <c r="N72" s="14" t="s">
        <v>28</v>
      </c>
      <c r="O72" s="14" t="s">
        <v>37</v>
      </c>
    </row>
    <row r="73" customFormat="false" ht="15" hidden="false" customHeight="false" outlineLevel="0" collapsed="false">
      <c r="A73" s="9" t="n">
        <v>69</v>
      </c>
      <c r="B73" s="14" t="s">
        <v>312</v>
      </c>
      <c r="C73" s="14" t="s">
        <v>326</v>
      </c>
      <c r="D73" s="14" t="s">
        <v>327</v>
      </c>
      <c r="E73" s="14" t="s">
        <v>328</v>
      </c>
      <c r="F73" s="14" t="s">
        <v>28</v>
      </c>
      <c r="G73" s="15"/>
      <c r="H73" s="14" t="s">
        <v>28</v>
      </c>
      <c r="I73" s="16" t="str">
        <f aca="true">IF(G73="","",G73-TODAY())</f>
        <v/>
      </c>
      <c r="J73" s="17" t="str">
        <f aca="true">IF(G73="","—",IF(G73&lt;TODAY(),"فات الموعد",IF(G73-TODAY()&lt;=14,"عاجل (≤14 يوم)","ساري")))</f>
        <v>—</v>
      </c>
      <c r="K73" s="14" t="s">
        <v>12</v>
      </c>
      <c r="L73" s="17" t="s">
        <v>31</v>
      </c>
      <c r="M73" s="14" t="s">
        <v>28</v>
      </c>
      <c r="N73" s="14" t="s">
        <v>28</v>
      </c>
      <c r="O73" s="14" t="s">
        <v>37</v>
      </c>
    </row>
    <row r="74" customFormat="false" ht="15" hidden="false" customHeight="false" outlineLevel="0" collapsed="false">
      <c r="A74" s="9" t="n">
        <v>70</v>
      </c>
      <c r="B74" s="14" t="s">
        <v>312</v>
      </c>
      <c r="C74" s="14" t="s">
        <v>329</v>
      </c>
      <c r="D74" s="14" t="s">
        <v>330</v>
      </c>
      <c r="E74" s="14" t="s">
        <v>103</v>
      </c>
      <c r="F74" s="14" t="s">
        <v>28</v>
      </c>
      <c r="G74" s="15"/>
      <c r="H74" s="14" t="s">
        <v>28</v>
      </c>
      <c r="I74" s="16" t="str">
        <f aca="true">IF(G74="","",G74-TODAY())</f>
        <v/>
      </c>
      <c r="J74" s="17" t="str">
        <f aca="true">IF(G74="","—",IF(G74&lt;TODAY(),"فات الموعد",IF(G74-TODAY()&lt;=14,"عاجل (≤14 يوم)","ساري")))</f>
        <v>—</v>
      </c>
      <c r="K74" s="14" t="s">
        <v>12</v>
      </c>
      <c r="L74" s="17" t="s">
        <v>31</v>
      </c>
      <c r="M74" s="14" t="s">
        <v>28</v>
      </c>
      <c r="N74" s="14" t="s">
        <v>28</v>
      </c>
      <c r="O74" s="14" t="s">
        <v>37</v>
      </c>
    </row>
    <row r="75" customFormat="false" ht="15" hidden="false" customHeight="false" outlineLevel="0" collapsed="false">
      <c r="A75" s="9" t="n">
        <v>71</v>
      </c>
      <c r="B75" s="14" t="s">
        <v>312</v>
      </c>
      <c r="C75" s="14" t="s">
        <v>331</v>
      </c>
      <c r="D75" s="14" t="s">
        <v>332</v>
      </c>
      <c r="E75" s="14" t="s">
        <v>83</v>
      </c>
      <c r="F75" s="14" t="s">
        <v>28</v>
      </c>
      <c r="G75" s="15"/>
      <c r="H75" s="14" t="s">
        <v>28</v>
      </c>
      <c r="I75" s="16" t="str">
        <f aca="true">IF(G75="","",G75-TODAY())</f>
        <v/>
      </c>
      <c r="J75" s="17" t="str">
        <f aca="true">IF(G75="","—",IF(G75&lt;TODAY(),"فات الموعد",IF(G75-TODAY()&lt;=14,"عاجل (≤14 يوم)","ساري")))</f>
        <v>—</v>
      </c>
      <c r="K75" s="14" t="s">
        <v>16</v>
      </c>
      <c r="L75" s="17" t="s">
        <v>31</v>
      </c>
      <c r="M75" s="14" t="s">
        <v>333</v>
      </c>
      <c r="N75" s="14" t="s">
        <v>28</v>
      </c>
      <c r="O75" s="14" t="s">
        <v>38</v>
      </c>
    </row>
    <row r="76" customFormat="false" ht="15" hidden="false" customHeight="false" outlineLevel="0" collapsed="false">
      <c r="A76" s="9" t="n">
        <v>72</v>
      </c>
      <c r="B76" s="14" t="s">
        <v>312</v>
      </c>
      <c r="C76" s="14" t="s">
        <v>334</v>
      </c>
      <c r="D76" s="14" t="s">
        <v>28</v>
      </c>
      <c r="E76" s="14" t="s">
        <v>103</v>
      </c>
      <c r="F76" s="14" t="s">
        <v>28</v>
      </c>
      <c r="G76" s="15"/>
      <c r="H76" s="14" t="s">
        <v>335</v>
      </c>
      <c r="I76" s="16" t="str">
        <f aca="true">IF(G76="","",G76-TODAY())</f>
        <v/>
      </c>
      <c r="J76" s="17" t="str">
        <f aca="true">IF(G76="","—",IF(G76&lt;TODAY(),"فات الموعد",IF(G76-TODAY()&lt;=14,"عاجل (≤14 يوم)","ساري")))</f>
        <v>—</v>
      </c>
      <c r="K76" s="14" t="s">
        <v>20</v>
      </c>
      <c r="L76" s="17" t="s">
        <v>28</v>
      </c>
      <c r="M76" s="14" t="s">
        <v>28</v>
      </c>
      <c r="N76" s="14" t="s">
        <v>28</v>
      </c>
      <c r="O76" s="14" t="s">
        <v>36</v>
      </c>
    </row>
    <row r="77" customFormat="false" ht="15" hidden="false" customHeight="false" outlineLevel="0" collapsed="false">
      <c r="A77" s="9" t="n">
        <v>73</v>
      </c>
      <c r="B77" s="14" t="s">
        <v>312</v>
      </c>
      <c r="C77" s="14" t="s">
        <v>336</v>
      </c>
      <c r="D77" s="14" t="s">
        <v>28</v>
      </c>
      <c r="E77" s="14" t="s">
        <v>28</v>
      </c>
      <c r="F77" s="14" t="s">
        <v>28</v>
      </c>
      <c r="G77" s="15"/>
      <c r="H77" s="14" t="s">
        <v>28</v>
      </c>
      <c r="I77" s="16" t="str">
        <f aca="true">IF(G77="","",G77-TODAY())</f>
        <v/>
      </c>
      <c r="J77" s="17" t="str">
        <f aca="true">IF(G77="","—",IF(G77&lt;TODAY(),"فات الموعد",IF(G77-TODAY()&lt;=14,"عاجل (≤14 يوم)","ساري")))</f>
        <v>—</v>
      </c>
      <c r="K77" s="14" t="s">
        <v>20</v>
      </c>
      <c r="L77" s="17" t="s">
        <v>28</v>
      </c>
      <c r="M77" s="14" t="s">
        <v>337</v>
      </c>
      <c r="N77" s="14" t="s">
        <v>28</v>
      </c>
      <c r="O77" s="14" t="s">
        <v>37</v>
      </c>
    </row>
    <row r="78" customFormat="false" ht="15" hidden="false" customHeight="false" outlineLevel="0" collapsed="false">
      <c r="A78" s="9" t="n">
        <v>74</v>
      </c>
      <c r="B78" s="14" t="s">
        <v>338</v>
      </c>
      <c r="C78" s="14" t="s">
        <v>339</v>
      </c>
      <c r="D78" s="14" t="s">
        <v>340</v>
      </c>
      <c r="E78" s="14" t="s">
        <v>103</v>
      </c>
      <c r="F78" s="14" t="s">
        <v>28</v>
      </c>
      <c r="G78" s="15"/>
      <c r="H78" s="14" t="s">
        <v>28</v>
      </c>
      <c r="I78" s="16" t="str">
        <f aca="true">IF(G78="","",G78-TODAY())</f>
        <v/>
      </c>
      <c r="J78" s="17" t="str">
        <f aca="true">IF(G78="","—",IF(G78&lt;TODAY(),"فات الموعد",IF(G78-TODAY()&lt;=14,"عاجل (≤14 يوم)","ساري")))</f>
        <v>—</v>
      </c>
      <c r="K78" s="14" t="s">
        <v>20</v>
      </c>
      <c r="L78" s="17" t="s">
        <v>28</v>
      </c>
      <c r="M78" s="14" t="s">
        <v>341</v>
      </c>
      <c r="N78" s="14" t="s">
        <v>28</v>
      </c>
      <c r="O78" s="14" t="s">
        <v>36</v>
      </c>
    </row>
    <row r="79" customFormat="false" ht="15" hidden="false" customHeight="false" outlineLevel="0" collapsed="false">
      <c r="A79" s="9" t="n">
        <v>75</v>
      </c>
      <c r="B79" s="14" t="s">
        <v>338</v>
      </c>
      <c r="C79" s="14" t="s">
        <v>342</v>
      </c>
      <c r="D79" s="14" t="s">
        <v>28</v>
      </c>
      <c r="E79" s="14" t="s">
        <v>103</v>
      </c>
      <c r="F79" s="14" t="s">
        <v>28</v>
      </c>
      <c r="G79" s="15"/>
      <c r="H79" s="14" t="s">
        <v>28</v>
      </c>
      <c r="I79" s="16" t="str">
        <f aca="true">IF(G79="","",G79-TODAY())</f>
        <v/>
      </c>
      <c r="J79" s="17" t="str">
        <f aca="true">IF(G79="","—",IF(G79&lt;TODAY(),"فات الموعد",IF(G79-TODAY()&lt;=14,"عاجل (≤14 يوم)","ساري")))</f>
        <v>—</v>
      </c>
      <c r="K79" s="14" t="s">
        <v>20</v>
      </c>
      <c r="L79" s="17" t="s">
        <v>28</v>
      </c>
      <c r="M79" s="14" t="s">
        <v>271</v>
      </c>
      <c r="N79" s="14" t="s">
        <v>28</v>
      </c>
      <c r="O79" s="14" t="s">
        <v>36</v>
      </c>
    </row>
    <row r="80" customFormat="false" ht="23.85" hidden="false" customHeight="false" outlineLevel="0" collapsed="false">
      <c r="A80" s="9" t="n">
        <v>76</v>
      </c>
      <c r="B80" s="14" t="s">
        <v>343</v>
      </c>
      <c r="C80" s="14" t="s">
        <v>344</v>
      </c>
      <c r="D80" s="14" t="s">
        <v>345</v>
      </c>
      <c r="E80" s="14" t="s">
        <v>346</v>
      </c>
      <c r="F80" s="14" t="s">
        <v>347</v>
      </c>
      <c r="G80" s="15"/>
      <c r="H80" s="14" t="s">
        <v>28</v>
      </c>
      <c r="I80" s="16" t="str">
        <f aca="true">IF(G80="","",G80-TODAY())</f>
        <v/>
      </c>
      <c r="J80" s="17" t="str">
        <f aca="true">IF(G80="","—",IF(G80&lt;TODAY(),"فات الموعد",IF(G80-TODAY()&lt;=14,"عاجل (≤14 يوم)","ساري")))</f>
        <v>—</v>
      </c>
      <c r="K80" s="14" t="s">
        <v>20</v>
      </c>
      <c r="L80" s="17" t="s">
        <v>28</v>
      </c>
      <c r="M80" s="14" t="s">
        <v>348</v>
      </c>
      <c r="N80" s="14" t="s">
        <v>28</v>
      </c>
      <c r="O80" s="14" t="s">
        <v>34</v>
      </c>
    </row>
    <row r="81" customFormat="false" ht="23.85" hidden="false" customHeight="false" outlineLevel="0" collapsed="false">
      <c r="A81" s="9" t="n">
        <v>77</v>
      </c>
      <c r="B81" s="14" t="s">
        <v>343</v>
      </c>
      <c r="C81" s="14" t="s">
        <v>344</v>
      </c>
      <c r="D81" s="14" t="s">
        <v>349</v>
      </c>
      <c r="E81" s="14" t="s">
        <v>350</v>
      </c>
      <c r="F81" s="14" t="s">
        <v>28</v>
      </c>
      <c r="G81" s="15"/>
      <c r="H81" s="14" t="s">
        <v>28</v>
      </c>
      <c r="I81" s="16" t="str">
        <f aca="true">IF(G81="","",G81-TODAY())</f>
        <v/>
      </c>
      <c r="J81" s="17" t="str">
        <f aca="true">IF(G81="","—",IF(G81&lt;TODAY(),"فات الموعد",IF(G81-TODAY()&lt;=14,"عاجل (≤14 يوم)","ساري")))</f>
        <v>—</v>
      </c>
      <c r="K81" s="14" t="s">
        <v>16</v>
      </c>
      <c r="L81" s="17" t="s">
        <v>30</v>
      </c>
      <c r="M81" s="14" t="s">
        <v>351</v>
      </c>
      <c r="N81" s="14" t="s">
        <v>28</v>
      </c>
      <c r="O81" s="14" t="s">
        <v>35</v>
      </c>
    </row>
    <row r="82" customFormat="false" ht="23.85" hidden="false" customHeight="false" outlineLevel="0" collapsed="false">
      <c r="A82" s="9" t="n">
        <v>78</v>
      </c>
      <c r="B82" s="14" t="s">
        <v>343</v>
      </c>
      <c r="C82" s="14" t="s">
        <v>344</v>
      </c>
      <c r="D82" s="14" t="s">
        <v>352</v>
      </c>
      <c r="E82" s="14" t="s">
        <v>353</v>
      </c>
      <c r="F82" s="14" t="s">
        <v>354</v>
      </c>
      <c r="G82" s="15"/>
      <c r="H82" s="14" t="s">
        <v>28</v>
      </c>
      <c r="I82" s="16" t="str">
        <f aca="true">IF(G82="","",G82-TODAY())</f>
        <v/>
      </c>
      <c r="J82" s="17" t="str">
        <f aca="true">IF(G82="","—",IF(G82&lt;TODAY(),"فات الموعد",IF(G82-TODAY()&lt;=14,"عاجل (≤14 يوم)","ساري")))</f>
        <v>—</v>
      </c>
      <c r="K82" s="14" t="s">
        <v>20</v>
      </c>
      <c r="L82" s="17" t="s">
        <v>28</v>
      </c>
      <c r="M82" s="14" t="s">
        <v>355</v>
      </c>
      <c r="N82" s="14" t="s">
        <v>28</v>
      </c>
      <c r="O82" s="14" t="s">
        <v>37</v>
      </c>
    </row>
    <row r="83" customFormat="false" ht="15" hidden="false" customHeight="false" outlineLevel="0" collapsed="false">
      <c r="A83" s="9" t="n">
        <v>79</v>
      </c>
      <c r="B83" s="14" t="s">
        <v>343</v>
      </c>
      <c r="C83" s="14" t="s">
        <v>344</v>
      </c>
      <c r="D83" s="14" t="s">
        <v>356</v>
      </c>
      <c r="E83" s="14" t="s">
        <v>357</v>
      </c>
      <c r="F83" s="14" t="s">
        <v>28</v>
      </c>
      <c r="G83" s="15"/>
      <c r="H83" s="14" t="s">
        <v>28</v>
      </c>
      <c r="I83" s="16" t="str">
        <f aca="true">IF(G83="","",G83-TODAY())</f>
        <v/>
      </c>
      <c r="J83" s="17" t="str">
        <f aca="true">IF(G83="","—",IF(G83&lt;TODAY(),"فات الموعد",IF(G83-TODAY()&lt;=14,"عاجل (≤14 يوم)","ساري")))</f>
        <v>—</v>
      </c>
      <c r="K83" s="14" t="s">
        <v>16</v>
      </c>
      <c r="L83" s="17" t="s">
        <v>31</v>
      </c>
      <c r="M83" s="14" t="s">
        <v>28</v>
      </c>
      <c r="N83" s="14" t="s">
        <v>28</v>
      </c>
      <c r="O83" s="14" t="s">
        <v>37</v>
      </c>
    </row>
    <row r="84" customFormat="false" ht="23.85" hidden="false" customHeight="false" outlineLevel="0" collapsed="false">
      <c r="A84" s="9" t="n">
        <v>80</v>
      </c>
      <c r="B84" s="14" t="s">
        <v>343</v>
      </c>
      <c r="C84" s="14" t="s">
        <v>344</v>
      </c>
      <c r="D84" s="14" t="s">
        <v>358</v>
      </c>
      <c r="E84" s="14" t="s">
        <v>359</v>
      </c>
      <c r="F84" s="14" t="s">
        <v>360</v>
      </c>
      <c r="G84" s="15"/>
      <c r="H84" s="14" t="s">
        <v>361</v>
      </c>
      <c r="I84" s="16" t="str">
        <f aca="true">IF(G84="","",G84-TODAY())</f>
        <v/>
      </c>
      <c r="J84" s="17" t="str">
        <f aca="true">IF(G84="","—",IF(G84&lt;TODAY(),"فات الموعد",IF(G84-TODAY()&lt;=14,"عاجل (≤14 يوم)","ساري")))</f>
        <v>—</v>
      </c>
      <c r="K84" s="14" t="s">
        <v>16</v>
      </c>
      <c r="L84" s="17" t="s">
        <v>31</v>
      </c>
      <c r="M84" s="14" t="s">
        <v>362</v>
      </c>
      <c r="N84" s="14" t="s">
        <v>28</v>
      </c>
      <c r="O84" s="14" t="s">
        <v>37</v>
      </c>
    </row>
    <row r="85" customFormat="false" ht="15" hidden="false" customHeight="false" outlineLevel="0" collapsed="false">
      <c r="A85" s="9" t="n">
        <v>81</v>
      </c>
      <c r="B85" s="14" t="s">
        <v>343</v>
      </c>
      <c r="C85" s="14" t="s">
        <v>344</v>
      </c>
      <c r="D85" s="14" t="s">
        <v>363</v>
      </c>
      <c r="E85" s="14" t="s">
        <v>364</v>
      </c>
      <c r="F85" s="14" t="s">
        <v>28</v>
      </c>
      <c r="G85" s="15"/>
      <c r="H85" s="14" t="s">
        <v>28</v>
      </c>
      <c r="I85" s="16" t="str">
        <f aca="true">IF(G85="","",G85-TODAY())</f>
        <v/>
      </c>
      <c r="J85" s="17" t="str">
        <f aca="true">IF(G85="","—",IF(G85&lt;TODAY(),"فات الموعد",IF(G85-TODAY()&lt;=14,"عاجل (≤14 يوم)","ساري")))</f>
        <v>—</v>
      </c>
      <c r="K85" s="14" t="s">
        <v>16</v>
      </c>
      <c r="L85" s="17" t="s">
        <v>31</v>
      </c>
      <c r="M85" s="14" t="s">
        <v>28</v>
      </c>
      <c r="N85" s="14" t="s">
        <v>28</v>
      </c>
      <c r="O85" s="14" t="s">
        <v>37</v>
      </c>
    </row>
    <row r="86" customFormat="false" ht="15" hidden="false" customHeight="false" outlineLevel="0" collapsed="false">
      <c r="A86" s="9" t="n">
        <v>82</v>
      </c>
      <c r="B86" s="14" t="s">
        <v>343</v>
      </c>
      <c r="C86" s="14" t="s">
        <v>365</v>
      </c>
      <c r="D86" s="14" t="s">
        <v>366</v>
      </c>
      <c r="E86" s="14" t="s">
        <v>28</v>
      </c>
      <c r="F86" s="14" t="s">
        <v>28</v>
      </c>
      <c r="G86" s="15"/>
      <c r="H86" s="14" t="s">
        <v>28</v>
      </c>
      <c r="I86" s="16" t="str">
        <f aca="true">IF(G86="","",G86-TODAY())</f>
        <v/>
      </c>
      <c r="J86" s="17" t="str">
        <f aca="true">IF(G86="","—",IF(G86&lt;TODAY(),"فات الموعد",IF(G86-TODAY()&lt;=14,"عاجل (≤14 يوم)","ساري")))</f>
        <v>—</v>
      </c>
      <c r="K86" s="14" t="s">
        <v>8</v>
      </c>
      <c r="L86" s="17" t="s">
        <v>31</v>
      </c>
      <c r="M86" s="14" t="s">
        <v>315</v>
      </c>
      <c r="N86" s="14" t="s">
        <v>28</v>
      </c>
      <c r="O86" s="14" t="s">
        <v>36</v>
      </c>
    </row>
    <row r="87" customFormat="false" ht="15" hidden="false" customHeight="false" outlineLevel="0" collapsed="false">
      <c r="A87" s="9" t="n">
        <v>83</v>
      </c>
      <c r="B87" s="14" t="s">
        <v>343</v>
      </c>
      <c r="C87" s="14" t="s">
        <v>365</v>
      </c>
      <c r="D87" s="14" t="s">
        <v>367</v>
      </c>
      <c r="E87" s="14" t="s">
        <v>28</v>
      </c>
      <c r="F87" s="14" t="s">
        <v>28</v>
      </c>
      <c r="G87" s="15"/>
      <c r="H87" s="14" t="s">
        <v>28</v>
      </c>
      <c r="I87" s="16" t="str">
        <f aca="true">IF(G87="","",G87-TODAY())</f>
        <v/>
      </c>
      <c r="J87" s="17" t="str">
        <f aca="true">IF(G87="","—",IF(G87&lt;TODAY(),"فات الموعد",IF(G87-TODAY()&lt;=14,"عاجل (≤14 يوم)","ساري")))</f>
        <v>—</v>
      </c>
      <c r="K87" s="14" t="s">
        <v>20</v>
      </c>
      <c r="L87" s="17" t="s">
        <v>28</v>
      </c>
      <c r="M87" s="14" t="s">
        <v>368</v>
      </c>
      <c r="N87" s="14" t="s">
        <v>28</v>
      </c>
      <c r="O87" s="14" t="s">
        <v>36</v>
      </c>
    </row>
    <row r="88" customFormat="false" ht="15" hidden="false" customHeight="false" outlineLevel="0" collapsed="false">
      <c r="A88" s="9" t="n">
        <v>84</v>
      </c>
      <c r="B88" s="14" t="s">
        <v>369</v>
      </c>
      <c r="C88" s="14" t="s">
        <v>370</v>
      </c>
      <c r="D88" s="14" t="s">
        <v>371</v>
      </c>
      <c r="E88" s="14" t="s">
        <v>372</v>
      </c>
      <c r="F88" s="14" t="s">
        <v>28</v>
      </c>
      <c r="G88" s="15"/>
      <c r="H88" s="14" t="s">
        <v>28</v>
      </c>
      <c r="I88" s="16" t="str">
        <f aca="true">IF(G88="","",G88-TODAY())</f>
        <v/>
      </c>
      <c r="J88" s="17" t="str">
        <f aca="true">IF(G88="","—",IF(G88&lt;TODAY(),"فات الموعد",IF(G88-TODAY()&lt;=14,"عاجل (≤14 يوم)","ساري")))</f>
        <v>—</v>
      </c>
      <c r="K88" s="14" t="s">
        <v>8</v>
      </c>
      <c r="L88" s="17" t="s">
        <v>31</v>
      </c>
      <c r="M88" s="14" t="s">
        <v>373</v>
      </c>
      <c r="N88" s="14" t="s">
        <v>28</v>
      </c>
      <c r="O88" s="14" t="s">
        <v>36</v>
      </c>
    </row>
    <row r="89" customFormat="false" ht="15" hidden="false" customHeight="false" outlineLevel="0" collapsed="false">
      <c r="A89" s="9" t="n">
        <v>85</v>
      </c>
      <c r="B89" s="14" t="s">
        <v>374</v>
      </c>
      <c r="C89" s="14" t="s">
        <v>375</v>
      </c>
      <c r="D89" s="14" t="s">
        <v>376</v>
      </c>
      <c r="E89" s="14" t="s">
        <v>92</v>
      </c>
      <c r="F89" s="14" t="s">
        <v>28</v>
      </c>
      <c r="G89" s="15"/>
      <c r="H89" s="14" t="s">
        <v>28</v>
      </c>
      <c r="I89" s="16" t="str">
        <f aca="true">IF(G89="","",G89-TODAY())</f>
        <v/>
      </c>
      <c r="J89" s="17" t="str">
        <f aca="true">IF(G89="","—",IF(G89&lt;TODAY(),"فات الموعد",IF(G89-TODAY()&lt;=14,"عاجل (≤14 يوم)","ساري")))</f>
        <v>—</v>
      </c>
      <c r="K89" s="14" t="s">
        <v>8</v>
      </c>
      <c r="L89" s="17" t="s">
        <v>31</v>
      </c>
      <c r="M89" s="14" t="s">
        <v>377</v>
      </c>
      <c r="N89" s="14" t="s">
        <v>28</v>
      </c>
      <c r="O89" s="14" t="s">
        <v>36</v>
      </c>
    </row>
    <row r="90" customFormat="false" ht="15" hidden="false" customHeight="false" outlineLevel="0" collapsed="false">
      <c r="A90" s="9" t="n">
        <v>86</v>
      </c>
      <c r="B90" s="14" t="s">
        <v>378</v>
      </c>
      <c r="C90" s="14" t="s">
        <v>379</v>
      </c>
      <c r="D90" s="14" t="s">
        <v>380</v>
      </c>
      <c r="E90" s="14" t="s">
        <v>103</v>
      </c>
      <c r="F90" s="14" t="s">
        <v>28</v>
      </c>
      <c r="G90" s="15"/>
      <c r="H90" s="14" t="s">
        <v>381</v>
      </c>
      <c r="I90" s="16" t="str">
        <f aca="true">IF(G90="","",G90-TODAY())</f>
        <v/>
      </c>
      <c r="J90" s="17" t="str">
        <f aca="true">IF(G90="","—",IF(G90&lt;TODAY(),"فات الموعد",IF(G90-TODAY()&lt;=14,"عاجل (≤14 يوم)","ساري")))</f>
        <v>—</v>
      </c>
      <c r="K90" s="14" t="s">
        <v>14</v>
      </c>
      <c r="L90" s="17" t="s">
        <v>32</v>
      </c>
      <c r="M90" s="14" t="s">
        <v>382</v>
      </c>
      <c r="N90" s="14" t="s">
        <v>28</v>
      </c>
      <c r="O90" s="14" t="s">
        <v>36</v>
      </c>
    </row>
    <row r="91" customFormat="false" ht="15" hidden="false" customHeight="false" outlineLevel="0" collapsed="false">
      <c r="A91" s="9" t="n">
        <v>87</v>
      </c>
      <c r="B91" s="14" t="s">
        <v>383</v>
      </c>
      <c r="C91" s="14" t="s">
        <v>384</v>
      </c>
      <c r="D91" s="14" t="s">
        <v>385</v>
      </c>
      <c r="E91" s="14" t="s">
        <v>386</v>
      </c>
      <c r="F91" s="14" t="s">
        <v>28</v>
      </c>
      <c r="G91" s="15"/>
      <c r="H91" s="14" t="s">
        <v>387</v>
      </c>
      <c r="I91" s="16" t="str">
        <f aca="true">IF(G91="","",G91-TODAY())</f>
        <v/>
      </c>
      <c r="J91" s="17" t="str">
        <f aca="true">IF(G91="","—",IF(G91&lt;TODAY(),"فات الموعد",IF(G91-TODAY()&lt;=14,"عاجل (≤14 يوم)","ساري")))</f>
        <v>—</v>
      </c>
      <c r="K91" s="14" t="s">
        <v>12</v>
      </c>
      <c r="L91" s="17" t="s">
        <v>31</v>
      </c>
      <c r="M91" s="14" t="s">
        <v>388</v>
      </c>
      <c r="N91" s="14" t="s">
        <v>389</v>
      </c>
      <c r="O91" s="14" t="s">
        <v>34</v>
      </c>
    </row>
    <row r="92" customFormat="false" ht="15" hidden="false" customHeight="false" outlineLevel="0" collapsed="false">
      <c r="A92" s="9" t="n">
        <v>88</v>
      </c>
      <c r="B92" s="14" t="s">
        <v>390</v>
      </c>
      <c r="C92" s="14" t="s">
        <v>391</v>
      </c>
      <c r="D92" s="14" t="s">
        <v>28</v>
      </c>
      <c r="E92" s="14" t="s">
        <v>392</v>
      </c>
      <c r="F92" s="14" t="s">
        <v>28</v>
      </c>
      <c r="G92" s="15"/>
      <c r="H92" s="14" t="s">
        <v>28</v>
      </c>
      <c r="I92" s="16" t="str">
        <f aca="true">IF(G92="","",G92-TODAY())</f>
        <v/>
      </c>
      <c r="J92" s="17" t="str">
        <f aca="true">IF(G92="","—",IF(G92&lt;TODAY(),"فات الموعد",IF(G92-TODAY()&lt;=14,"عاجل (≤14 يوم)","ساري")))</f>
        <v>—</v>
      </c>
      <c r="K92" s="14" t="s">
        <v>16</v>
      </c>
      <c r="L92" s="17" t="s">
        <v>32</v>
      </c>
      <c r="M92" s="14" t="s">
        <v>393</v>
      </c>
      <c r="N92" s="14" t="s">
        <v>28</v>
      </c>
      <c r="O92" s="14" t="s">
        <v>38</v>
      </c>
    </row>
    <row r="93" customFormat="false" ht="23.85" hidden="false" customHeight="false" outlineLevel="0" collapsed="false">
      <c r="A93" s="9" t="n">
        <v>89</v>
      </c>
      <c r="B93" s="14" t="s">
        <v>394</v>
      </c>
      <c r="C93" s="14" t="s">
        <v>395</v>
      </c>
      <c r="D93" s="14" t="s">
        <v>396</v>
      </c>
      <c r="E93" s="14" t="s">
        <v>125</v>
      </c>
      <c r="F93" s="14" t="s">
        <v>116</v>
      </c>
      <c r="G93" s="15"/>
      <c r="H93" s="14" t="s">
        <v>28</v>
      </c>
      <c r="I93" s="16" t="str">
        <f aca="true">IF(G93="","",G93-TODAY())</f>
        <v/>
      </c>
      <c r="J93" s="17" t="str">
        <f aca="true">IF(G93="","—",IF(G93&lt;TODAY(),"فات الموعد",IF(G93-TODAY()&lt;=14,"عاجل (≤14 يوم)","ساري")))</f>
        <v>—</v>
      </c>
      <c r="K93" s="14" t="s">
        <v>12</v>
      </c>
      <c r="L93" s="17" t="s">
        <v>31</v>
      </c>
      <c r="M93" s="14" t="s">
        <v>397</v>
      </c>
      <c r="N93" s="14" t="s">
        <v>398</v>
      </c>
      <c r="O93" s="14" t="s">
        <v>37</v>
      </c>
    </row>
    <row r="94" customFormat="false" ht="15" hidden="false" customHeight="false" outlineLevel="0" collapsed="false">
      <c r="A94" s="9" t="n">
        <v>90</v>
      </c>
      <c r="B94" s="14" t="s">
        <v>394</v>
      </c>
      <c r="C94" s="14" t="s">
        <v>399</v>
      </c>
      <c r="D94" s="14" t="s">
        <v>400</v>
      </c>
      <c r="E94" s="14" t="s">
        <v>401</v>
      </c>
      <c r="F94" s="14" t="s">
        <v>116</v>
      </c>
      <c r="G94" s="15"/>
      <c r="H94" s="14" t="s">
        <v>402</v>
      </c>
      <c r="I94" s="16" t="str">
        <f aca="true">IF(G94="","",G94-TODAY())</f>
        <v/>
      </c>
      <c r="J94" s="17" t="str">
        <f aca="true">IF(G94="","—",IF(G94&lt;TODAY(),"فات الموعد",IF(G94-TODAY()&lt;=14,"عاجل (≤14 يوم)","ساري")))</f>
        <v>—</v>
      </c>
      <c r="K94" s="14" t="s">
        <v>16</v>
      </c>
      <c r="L94" s="17" t="s">
        <v>30</v>
      </c>
      <c r="M94" s="14" t="s">
        <v>403</v>
      </c>
      <c r="N94" s="14" t="s">
        <v>28</v>
      </c>
      <c r="O94" s="14" t="s">
        <v>38</v>
      </c>
    </row>
    <row r="95" customFormat="false" ht="23.85" hidden="false" customHeight="false" outlineLevel="0" collapsed="false">
      <c r="A95" s="9" t="n">
        <v>91</v>
      </c>
      <c r="B95" s="14" t="s">
        <v>394</v>
      </c>
      <c r="C95" s="14" t="s">
        <v>404</v>
      </c>
      <c r="D95" s="14" t="s">
        <v>405</v>
      </c>
      <c r="E95" s="14" t="s">
        <v>406</v>
      </c>
      <c r="F95" s="14" t="s">
        <v>116</v>
      </c>
      <c r="G95" s="15"/>
      <c r="H95" s="14" t="s">
        <v>28</v>
      </c>
      <c r="I95" s="16" t="str">
        <f aca="true">IF(G95="","",G95-TODAY())</f>
        <v/>
      </c>
      <c r="J95" s="17" t="str">
        <f aca="true">IF(G95="","—",IF(G95&lt;TODAY(),"فات الموعد",IF(G95-TODAY()&lt;=14,"عاجل (≤14 يوم)","ساري")))</f>
        <v>—</v>
      </c>
      <c r="K95" s="14" t="s">
        <v>16</v>
      </c>
      <c r="L95" s="17" t="s">
        <v>30</v>
      </c>
      <c r="M95" s="14" t="s">
        <v>407</v>
      </c>
      <c r="N95" s="14" t="s">
        <v>28</v>
      </c>
      <c r="O95" s="14" t="s">
        <v>38</v>
      </c>
    </row>
    <row r="96" customFormat="false" ht="23.85" hidden="false" customHeight="false" outlineLevel="0" collapsed="false">
      <c r="A96" s="9" t="n">
        <v>92</v>
      </c>
      <c r="B96" s="14" t="s">
        <v>394</v>
      </c>
      <c r="C96" s="14" t="s">
        <v>28</v>
      </c>
      <c r="D96" s="14" t="s">
        <v>408</v>
      </c>
      <c r="E96" s="14" t="s">
        <v>409</v>
      </c>
      <c r="F96" s="14" t="s">
        <v>116</v>
      </c>
      <c r="G96" s="15"/>
      <c r="H96" s="14" t="s">
        <v>28</v>
      </c>
      <c r="I96" s="16" t="str">
        <f aca="true">IF(G96="","",G96-TODAY())</f>
        <v/>
      </c>
      <c r="J96" s="17" t="str">
        <f aca="true">IF(G96="","—",IF(G96&lt;TODAY(),"فات الموعد",IF(G96-TODAY()&lt;=14,"عاجل (≤14 يوم)","ساري")))</f>
        <v>—</v>
      </c>
      <c r="K96" s="14" t="s">
        <v>16</v>
      </c>
      <c r="L96" s="17" t="s">
        <v>31</v>
      </c>
      <c r="M96" s="14" t="s">
        <v>407</v>
      </c>
      <c r="N96" s="14" t="s">
        <v>28</v>
      </c>
      <c r="O96" s="14" t="s">
        <v>38</v>
      </c>
    </row>
    <row r="97" customFormat="false" ht="23.85" hidden="false" customHeight="false" outlineLevel="0" collapsed="false">
      <c r="A97" s="9" t="n">
        <v>93</v>
      </c>
      <c r="B97" s="14" t="s">
        <v>394</v>
      </c>
      <c r="C97" s="14" t="s">
        <v>28</v>
      </c>
      <c r="D97" s="14" t="s">
        <v>410</v>
      </c>
      <c r="E97" s="14" t="s">
        <v>411</v>
      </c>
      <c r="F97" s="14" t="s">
        <v>412</v>
      </c>
      <c r="G97" s="15"/>
      <c r="H97" s="14" t="s">
        <v>28</v>
      </c>
      <c r="I97" s="16" t="str">
        <f aca="true">IF(G97="","",G97-TODAY())</f>
        <v/>
      </c>
      <c r="J97" s="17" t="str">
        <f aca="true">IF(G97="","—",IF(G97&lt;TODAY(),"فات الموعد",IF(G97-TODAY()&lt;=14,"عاجل (≤14 يوم)","ساري")))</f>
        <v>—</v>
      </c>
      <c r="K97" s="14" t="s">
        <v>16</v>
      </c>
      <c r="L97" s="17" t="s">
        <v>30</v>
      </c>
      <c r="M97" s="14" t="s">
        <v>413</v>
      </c>
      <c r="N97" s="14" t="s">
        <v>28</v>
      </c>
      <c r="O97" s="14" t="s">
        <v>38</v>
      </c>
    </row>
    <row r="98" customFormat="false" ht="15" hidden="false" customHeight="false" outlineLevel="0" collapsed="false">
      <c r="A98" s="9" t="n">
        <v>94</v>
      </c>
      <c r="B98" s="14" t="s">
        <v>394</v>
      </c>
      <c r="C98" s="14" t="s">
        <v>414</v>
      </c>
      <c r="D98" s="14" t="s">
        <v>415</v>
      </c>
      <c r="E98" s="14" t="s">
        <v>416</v>
      </c>
      <c r="F98" s="14" t="s">
        <v>116</v>
      </c>
      <c r="G98" s="15" t="n">
        <v>46113</v>
      </c>
      <c r="H98" s="14" t="s">
        <v>28</v>
      </c>
      <c r="I98" s="16" t="n">
        <f aca="true">IF(G98="","",G98-TODAY())</f>
        <v>-189</v>
      </c>
      <c r="J98" s="17" t="str">
        <f aca="true">IF(G98="","—",IF(G98&lt;TODAY(),"فات الموعد",IF(G98-TODAY()&lt;=14,"عاجل (≤14 يوم)","ساري")))</f>
        <v>فات الموعد</v>
      </c>
      <c r="K98" s="14" t="s">
        <v>18</v>
      </c>
      <c r="L98" s="17" t="s">
        <v>28</v>
      </c>
      <c r="M98" s="14" t="s">
        <v>261</v>
      </c>
      <c r="N98" s="14" t="s">
        <v>28</v>
      </c>
      <c r="O98" s="14" t="s">
        <v>37</v>
      </c>
    </row>
    <row r="99" customFormat="false" ht="23.85" hidden="false" customHeight="false" outlineLevel="0" collapsed="false">
      <c r="A99" s="9" t="n">
        <v>95</v>
      </c>
      <c r="B99" s="14" t="s">
        <v>417</v>
      </c>
      <c r="C99" s="14" t="s">
        <v>418</v>
      </c>
      <c r="D99" s="14" t="s">
        <v>419</v>
      </c>
      <c r="E99" s="14" t="s">
        <v>420</v>
      </c>
      <c r="F99" s="14" t="s">
        <v>116</v>
      </c>
      <c r="G99" s="15"/>
      <c r="H99" s="14" t="s">
        <v>28</v>
      </c>
      <c r="I99" s="16" t="str">
        <f aca="true">IF(G99="","",G99-TODAY())</f>
        <v/>
      </c>
      <c r="J99" s="17" t="str">
        <f aca="true">IF(G99="","—",IF(G99&lt;TODAY(),"فات الموعد",IF(G99-TODAY()&lt;=14,"عاجل (≤14 يوم)","ساري")))</f>
        <v>—</v>
      </c>
      <c r="K99" s="14" t="s">
        <v>8</v>
      </c>
      <c r="L99" s="17" t="s">
        <v>30</v>
      </c>
      <c r="M99" s="14" t="s">
        <v>421</v>
      </c>
      <c r="N99" s="14" t="s">
        <v>28</v>
      </c>
      <c r="O99" s="14" t="s">
        <v>36</v>
      </c>
    </row>
    <row r="100" customFormat="false" ht="15" hidden="false" customHeight="false" outlineLevel="0" collapsed="false">
      <c r="A100" s="9" t="n">
        <v>96</v>
      </c>
      <c r="B100" s="14" t="s">
        <v>417</v>
      </c>
      <c r="C100" s="14" t="s">
        <v>422</v>
      </c>
      <c r="D100" s="14" t="s">
        <v>423</v>
      </c>
      <c r="E100" s="14" t="s">
        <v>424</v>
      </c>
      <c r="F100" s="14" t="s">
        <v>116</v>
      </c>
      <c r="G100" s="15"/>
      <c r="H100" s="14" t="s">
        <v>28</v>
      </c>
      <c r="I100" s="16" t="str">
        <f aca="true">IF(G100="","",G100-TODAY())</f>
        <v/>
      </c>
      <c r="J100" s="17" t="str">
        <f aca="true">IF(G100="","—",IF(G100&lt;TODAY(),"فات الموعد",IF(G100-TODAY()&lt;=14,"عاجل (≤14 يوم)","ساري")))</f>
        <v>—</v>
      </c>
      <c r="K100" s="14" t="s">
        <v>8</v>
      </c>
      <c r="L100" s="17" t="s">
        <v>30</v>
      </c>
      <c r="M100" s="14" t="s">
        <v>425</v>
      </c>
      <c r="N100" s="14" t="s">
        <v>28</v>
      </c>
      <c r="O100" s="14" t="s">
        <v>36</v>
      </c>
    </row>
    <row r="101" customFormat="false" ht="15" hidden="false" customHeight="false" outlineLevel="0" collapsed="false">
      <c r="A101" s="9" t="n">
        <v>97</v>
      </c>
      <c r="B101" s="14" t="s">
        <v>417</v>
      </c>
      <c r="C101" s="14" t="s">
        <v>422</v>
      </c>
      <c r="D101" s="14" t="s">
        <v>426</v>
      </c>
      <c r="E101" s="14" t="s">
        <v>427</v>
      </c>
      <c r="F101" s="14" t="s">
        <v>116</v>
      </c>
      <c r="G101" s="15"/>
      <c r="H101" s="14" t="s">
        <v>28</v>
      </c>
      <c r="I101" s="16" t="str">
        <f aca="true">IF(G101="","",G101-TODAY())</f>
        <v/>
      </c>
      <c r="J101" s="17" t="str">
        <f aca="true">IF(G101="","—",IF(G101&lt;TODAY(),"فات الموعد",IF(G101-TODAY()&lt;=14,"عاجل (≤14 يوم)","ساري")))</f>
        <v>—</v>
      </c>
      <c r="K101" s="14" t="s">
        <v>12</v>
      </c>
      <c r="L101" s="17" t="s">
        <v>30</v>
      </c>
      <c r="M101" s="14" t="s">
        <v>428</v>
      </c>
      <c r="N101" s="14" t="s">
        <v>429</v>
      </c>
      <c r="O101" s="14" t="s">
        <v>37</v>
      </c>
    </row>
    <row r="102" customFormat="false" ht="15" hidden="false" customHeight="false" outlineLevel="0" collapsed="false">
      <c r="A102" s="9" t="n">
        <v>98</v>
      </c>
      <c r="B102" s="14" t="s">
        <v>417</v>
      </c>
      <c r="C102" s="14" t="s">
        <v>422</v>
      </c>
      <c r="D102" s="14" t="s">
        <v>430</v>
      </c>
      <c r="E102" s="14" t="s">
        <v>208</v>
      </c>
      <c r="F102" s="14" t="s">
        <v>116</v>
      </c>
      <c r="G102" s="15"/>
      <c r="H102" s="14" t="s">
        <v>28</v>
      </c>
      <c r="I102" s="16" t="str">
        <f aca="true">IF(G102="","",G102-TODAY())</f>
        <v/>
      </c>
      <c r="J102" s="17" t="str">
        <f aca="true">IF(G102="","—",IF(G102&lt;TODAY(),"فات الموعد",IF(G102-TODAY()&lt;=14,"عاجل (≤14 يوم)","ساري")))</f>
        <v>—</v>
      </c>
      <c r="K102" s="14" t="s">
        <v>12</v>
      </c>
      <c r="L102" s="17" t="s">
        <v>30</v>
      </c>
      <c r="M102" s="14" t="s">
        <v>431</v>
      </c>
      <c r="N102" s="14" t="s">
        <v>28</v>
      </c>
      <c r="O102" s="14" t="s">
        <v>37</v>
      </c>
    </row>
    <row r="103" customFormat="false" ht="23.85" hidden="false" customHeight="false" outlineLevel="0" collapsed="false">
      <c r="A103" s="9" t="n">
        <v>99</v>
      </c>
      <c r="B103" s="14" t="s">
        <v>417</v>
      </c>
      <c r="C103" s="14" t="s">
        <v>422</v>
      </c>
      <c r="D103" s="14" t="s">
        <v>432</v>
      </c>
      <c r="E103" s="14" t="s">
        <v>433</v>
      </c>
      <c r="F103" s="14" t="s">
        <v>28</v>
      </c>
      <c r="G103" s="15"/>
      <c r="H103" s="14" t="s">
        <v>434</v>
      </c>
      <c r="I103" s="16" t="str">
        <f aca="true">IF(G103="","",G103-TODAY())</f>
        <v/>
      </c>
      <c r="J103" s="17" t="str">
        <f aca="true">IF(G103="","—",IF(G103&lt;TODAY(),"فات الموعد",IF(G103-TODAY()&lt;=14,"عاجل (≤14 يوم)","ساري")))</f>
        <v>—</v>
      </c>
      <c r="K103" s="14" t="s">
        <v>12</v>
      </c>
      <c r="L103" s="17" t="s">
        <v>31</v>
      </c>
      <c r="M103" s="14" t="s">
        <v>435</v>
      </c>
      <c r="N103" s="14" t="s">
        <v>28</v>
      </c>
      <c r="O103" s="14" t="s">
        <v>37</v>
      </c>
    </row>
    <row r="104" customFormat="false" ht="23.85" hidden="false" customHeight="false" outlineLevel="0" collapsed="false">
      <c r="A104" s="9" t="n">
        <v>100</v>
      </c>
      <c r="B104" s="14" t="s">
        <v>417</v>
      </c>
      <c r="C104" s="14" t="s">
        <v>436</v>
      </c>
      <c r="D104" s="14" t="s">
        <v>437</v>
      </c>
      <c r="E104" s="14" t="s">
        <v>103</v>
      </c>
      <c r="F104" s="14" t="s">
        <v>438</v>
      </c>
      <c r="G104" s="15"/>
      <c r="H104" s="14" t="s">
        <v>28</v>
      </c>
      <c r="I104" s="16" t="str">
        <f aca="true">IF(G104="","",G104-TODAY())</f>
        <v/>
      </c>
      <c r="J104" s="17" t="str">
        <f aca="true">IF(G104="","—",IF(G104&lt;TODAY(),"فات الموعد",IF(G104-TODAY()&lt;=14,"عاجل (≤14 يوم)","ساري")))</f>
        <v>—</v>
      </c>
      <c r="K104" s="14" t="s">
        <v>16</v>
      </c>
      <c r="L104" s="17" t="s">
        <v>30</v>
      </c>
      <c r="M104" s="14" t="s">
        <v>439</v>
      </c>
      <c r="N104" s="14" t="s">
        <v>28</v>
      </c>
      <c r="O104" s="14" t="s">
        <v>35</v>
      </c>
    </row>
    <row r="105" customFormat="false" ht="15" hidden="false" customHeight="false" outlineLevel="0" collapsed="false">
      <c r="A105" s="9" t="n">
        <v>101</v>
      </c>
      <c r="B105" s="14" t="s">
        <v>417</v>
      </c>
      <c r="C105" s="14" t="s">
        <v>440</v>
      </c>
      <c r="D105" s="14" t="s">
        <v>441</v>
      </c>
      <c r="E105" s="14" t="s">
        <v>442</v>
      </c>
      <c r="F105" s="14" t="s">
        <v>28</v>
      </c>
      <c r="G105" s="15"/>
      <c r="H105" s="14" t="s">
        <v>443</v>
      </c>
      <c r="I105" s="16" t="str">
        <f aca="true">IF(G105="","",G105-TODAY())</f>
        <v/>
      </c>
      <c r="J105" s="17" t="str">
        <f aca="true">IF(G105="","—",IF(G105&lt;TODAY(),"فات الموعد",IF(G105-TODAY()&lt;=14,"عاجل (≤14 يوم)","ساري")))</f>
        <v>—</v>
      </c>
      <c r="K105" s="14" t="s">
        <v>12</v>
      </c>
      <c r="L105" s="17" t="s">
        <v>31</v>
      </c>
      <c r="M105" s="14" t="s">
        <v>28</v>
      </c>
      <c r="N105" s="14" t="s">
        <v>28</v>
      </c>
      <c r="O105" s="14" t="s">
        <v>37</v>
      </c>
    </row>
    <row r="106" customFormat="false" ht="15" hidden="false" customHeight="false" outlineLevel="0" collapsed="false">
      <c r="A106" s="9" t="n">
        <v>102</v>
      </c>
      <c r="B106" s="14" t="s">
        <v>417</v>
      </c>
      <c r="C106" s="14" t="s">
        <v>440</v>
      </c>
      <c r="D106" s="14" t="s">
        <v>444</v>
      </c>
      <c r="E106" s="14" t="s">
        <v>445</v>
      </c>
      <c r="F106" s="14" t="s">
        <v>28</v>
      </c>
      <c r="G106" s="15"/>
      <c r="H106" s="14" t="s">
        <v>28</v>
      </c>
      <c r="I106" s="16" t="str">
        <f aca="true">IF(G106="","",G106-TODAY())</f>
        <v/>
      </c>
      <c r="J106" s="17" t="str">
        <f aca="true">IF(G106="","—",IF(G106&lt;TODAY(),"فات الموعد",IF(G106-TODAY()&lt;=14,"عاجل (≤14 يوم)","ساري")))</f>
        <v>—</v>
      </c>
      <c r="K106" s="14" t="s">
        <v>12</v>
      </c>
      <c r="L106" s="17" t="s">
        <v>31</v>
      </c>
      <c r="M106" s="14" t="s">
        <v>446</v>
      </c>
      <c r="N106" s="14" t="s">
        <v>28</v>
      </c>
      <c r="O106" s="14" t="s">
        <v>35</v>
      </c>
    </row>
    <row r="107" customFormat="false" ht="15" hidden="false" customHeight="false" outlineLevel="0" collapsed="false">
      <c r="A107" s="9" t="n">
        <v>103</v>
      </c>
      <c r="B107" s="14" t="s">
        <v>417</v>
      </c>
      <c r="C107" s="14" t="s">
        <v>447</v>
      </c>
      <c r="D107" s="14" t="s">
        <v>448</v>
      </c>
      <c r="E107" s="14" t="s">
        <v>449</v>
      </c>
      <c r="F107" s="14" t="s">
        <v>28</v>
      </c>
      <c r="G107" s="15"/>
      <c r="H107" s="14" t="s">
        <v>28</v>
      </c>
      <c r="I107" s="16" t="str">
        <f aca="true">IF(G107="","",G107-TODAY())</f>
        <v/>
      </c>
      <c r="J107" s="17" t="str">
        <f aca="true">IF(G107="","—",IF(G107&lt;TODAY(),"فات الموعد",IF(G107-TODAY()&lt;=14,"عاجل (≤14 يوم)","ساري")))</f>
        <v>—</v>
      </c>
      <c r="K107" s="14" t="s">
        <v>6</v>
      </c>
      <c r="L107" s="17" t="s">
        <v>30</v>
      </c>
      <c r="M107" s="14" t="s">
        <v>450</v>
      </c>
      <c r="N107" s="14" t="s">
        <v>28</v>
      </c>
      <c r="O107" s="14" t="s">
        <v>36</v>
      </c>
    </row>
    <row r="108" customFormat="false" ht="15" hidden="false" customHeight="false" outlineLevel="0" collapsed="false">
      <c r="A108" s="9" t="n">
        <v>104</v>
      </c>
      <c r="B108" s="14" t="s">
        <v>417</v>
      </c>
      <c r="C108" s="14" t="s">
        <v>451</v>
      </c>
      <c r="D108" s="14" t="s">
        <v>452</v>
      </c>
      <c r="E108" s="14" t="s">
        <v>208</v>
      </c>
      <c r="F108" s="14" t="s">
        <v>28</v>
      </c>
      <c r="G108" s="15"/>
      <c r="H108" s="14" t="s">
        <v>28</v>
      </c>
      <c r="I108" s="16" t="str">
        <f aca="true">IF(G108="","",G108-TODAY())</f>
        <v/>
      </c>
      <c r="J108" s="17" t="str">
        <f aca="true">IF(G108="","—",IF(G108&lt;TODAY(),"فات الموعد",IF(G108-TODAY()&lt;=14,"عاجل (≤14 يوم)","ساري")))</f>
        <v>—</v>
      </c>
      <c r="K108" s="14" t="s">
        <v>8</v>
      </c>
      <c r="L108" s="17" t="s">
        <v>30</v>
      </c>
      <c r="M108" s="14" t="s">
        <v>453</v>
      </c>
      <c r="N108" s="14" t="s">
        <v>28</v>
      </c>
      <c r="O108" s="14" t="s">
        <v>36</v>
      </c>
    </row>
    <row r="109" customFormat="false" ht="15" hidden="false" customHeight="false" outlineLevel="0" collapsed="false">
      <c r="A109" s="9" t="n">
        <v>105</v>
      </c>
      <c r="B109" s="14" t="s">
        <v>417</v>
      </c>
      <c r="C109" s="14" t="s">
        <v>454</v>
      </c>
      <c r="D109" s="14" t="s">
        <v>455</v>
      </c>
      <c r="E109" s="14" t="s">
        <v>103</v>
      </c>
      <c r="F109" s="14" t="s">
        <v>28</v>
      </c>
      <c r="G109" s="15"/>
      <c r="H109" s="14" t="s">
        <v>28</v>
      </c>
      <c r="I109" s="16" t="str">
        <f aca="true">IF(G109="","",G109-TODAY())</f>
        <v/>
      </c>
      <c r="J109" s="17" t="str">
        <f aca="true">IF(G109="","—",IF(G109&lt;TODAY(),"فات الموعد",IF(G109-TODAY()&lt;=14,"عاجل (≤14 يوم)","ساري")))</f>
        <v>—</v>
      </c>
      <c r="K109" s="14" t="s">
        <v>8</v>
      </c>
      <c r="L109" s="17" t="s">
        <v>31</v>
      </c>
      <c r="M109" s="14" t="s">
        <v>28</v>
      </c>
      <c r="N109" s="14" t="s">
        <v>28</v>
      </c>
      <c r="O109" s="14" t="s">
        <v>36</v>
      </c>
    </row>
    <row r="110" customFormat="false" ht="15" hidden="false" customHeight="false" outlineLevel="0" collapsed="false">
      <c r="A110" s="9" t="n">
        <v>106</v>
      </c>
      <c r="B110" s="14" t="s">
        <v>417</v>
      </c>
      <c r="C110" s="14" t="s">
        <v>456</v>
      </c>
      <c r="D110" s="14" t="s">
        <v>457</v>
      </c>
      <c r="E110" s="14" t="s">
        <v>103</v>
      </c>
      <c r="F110" s="14" t="s">
        <v>28</v>
      </c>
      <c r="G110" s="15"/>
      <c r="H110" s="14" t="s">
        <v>28</v>
      </c>
      <c r="I110" s="16" t="str">
        <f aca="true">IF(G110="","",G110-TODAY())</f>
        <v/>
      </c>
      <c r="J110" s="17" t="str">
        <f aca="true">IF(G110="","—",IF(G110&lt;TODAY(),"فات الموعد",IF(G110-TODAY()&lt;=14,"عاجل (≤14 يوم)","ساري")))</f>
        <v>—</v>
      </c>
      <c r="K110" s="14" t="s">
        <v>8</v>
      </c>
      <c r="L110" s="17" t="s">
        <v>31</v>
      </c>
      <c r="M110" s="14" t="s">
        <v>28</v>
      </c>
      <c r="N110" s="14" t="s">
        <v>28</v>
      </c>
      <c r="O110" s="14" t="s">
        <v>36</v>
      </c>
    </row>
    <row r="111" customFormat="false" ht="15" hidden="false" customHeight="false" outlineLevel="0" collapsed="false">
      <c r="A111" s="9" t="n">
        <v>107</v>
      </c>
      <c r="B111" s="14" t="s">
        <v>417</v>
      </c>
      <c r="C111" s="14" t="s">
        <v>458</v>
      </c>
      <c r="D111" s="14" t="s">
        <v>459</v>
      </c>
      <c r="E111" s="14" t="s">
        <v>460</v>
      </c>
      <c r="F111" s="14" t="s">
        <v>28</v>
      </c>
      <c r="G111" s="15"/>
      <c r="H111" s="14" t="s">
        <v>28</v>
      </c>
      <c r="I111" s="16" t="str">
        <f aca="true">IF(G111="","",G111-TODAY())</f>
        <v/>
      </c>
      <c r="J111" s="17" t="str">
        <f aca="true">IF(G111="","—",IF(G111&lt;TODAY(),"فات الموعد",IF(G111-TODAY()&lt;=14,"عاجل (≤14 يوم)","ساري")))</f>
        <v>—</v>
      </c>
      <c r="K111" s="14" t="s">
        <v>8</v>
      </c>
      <c r="L111" s="17" t="s">
        <v>31</v>
      </c>
      <c r="M111" s="14" t="s">
        <v>28</v>
      </c>
      <c r="N111" s="14" t="s">
        <v>28</v>
      </c>
      <c r="O111" s="14" t="s">
        <v>36</v>
      </c>
    </row>
    <row r="112" customFormat="false" ht="23.85" hidden="false" customHeight="false" outlineLevel="0" collapsed="false">
      <c r="A112" s="9" t="n">
        <v>108</v>
      </c>
      <c r="B112" s="14" t="s">
        <v>417</v>
      </c>
      <c r="C112" s="14" t="s">
        <v>461</v>
      </c>
      <c r="D112" s="14" t="s">
        <v>462</v>
      </c>
      <c r="E112" s="14" t="s">
        <v>463</v>
      </c>
      <c r="F112" s="14" t="s">
        <v>464</v>
      </c>
      <c r="G112" s="15"/>
      <c r="H112" s="14" t="s">
        <v>28</v>
      </c>
      <c r="I112" s="16" t="str">
        <f aca="true">IF(G112="","",G112-TODAY())</f>
        <v/>
      </c>
      <c r="J112" s="17" t="str">
        <f aca="true">IF(G112="","—",IF(G112&lt;TODAY(),"فات الموعد",IF(G112-TODAY()&lt;=14,"عاجل (≤14 يوم)","ساري")))</f>
        <v>—</v>
      </c>
      <c r="K112" s="14" t="s">
        <v>12</v>
      </c>
      <c r="L112" s="17" t="s">
        <v>30</v>
      </c>
      <c r="M112" s="14" t="s">
        <v>465</v>
      </c>
      <c r="N112" s="14" t="s">
        <v>28</v>
      </c>
      <c r="O112" s="14" t="s">
        <v>37</v>
      </c>
    </row>
    <row r="113" customFormat="false" ht="15" hidden="false" customHeight="false" outlineLevel="0" collapsed="false">
      <c r="A113" s="9" t="n">
        <v>109</v>
      </c>
      <c r="B113" s="14" t="s">
        <v>417</v>
      </c>
      <c r="C113" s="14" t="s">
        <v>466</v>
      </c>
      <c r="D113" s="14" t="s">
        <v>467</v>
      </c>
      <c r="E113" s="14" t="s">
        <v>103</v>
      </c>
      <c r="F113" s="14" t="s">
        <v>468</v>
      </c>
      <c r="G113" s="15"/>
      <c r="H113" s="14" t="s">
        <v>28</v>
      </c>
      <c r="I113" s="16" t="str">
        <f aca="true">IF(G113="","",G113-TODAY())</f>
        <v/>
      </c>
      <c r="J113" s="17" t="str">
        <f aca="true">IF(G113="","—",IF(G113&lt;TODAY(),"فات الموعد",IF(G113-TODAY()&lt;=14,"عاجل (≤14 يوم)","ساري")))</f>
        <v>—</v>
      </c>
      <c r="K113" s="14" t="s">
        <v>12</v>
      </c>
      <c r="L113" s="17" t="s">
        <v>31</v>
      </c>
      <c r="M113" s="14" t="s">
        <v>28</v>
      </c>
      <c r="N113" s="14" t="s">
        <v>28</v>
      </c>
      <c r="O113" s="14" t="s">
        <v>37</v>
      </c>
    </row>
    <row r="114" customFormat="false" ht="15" hidden="false" customHeight="false" outlineLevel="0" collapsed="false">
      <c r="A114" s="9" t="n">
        <v>110</v>
      </c>
      <c r="B114" s="14" t="s">
        <v>417</v>
      </c>
      <c r="C114" s="14" t="s">
        <v>469</v>
      </c>
      <c r="D114" s="14" t="s">
        <v>470</v>
      </c>
      <c r="E114" s="14" t="s">
        <v>471</v>
      </c>
      <c r="F114" s="14" t="s">
        <v>472</v>
      </c>
      <c r="G114" s="15"/>
      <c r="H114" s="14" t="s">
        <v>28</v>
      </c>
      <c r="I114" s="16" t="str">
        <f aca="true">IF(G114="","",G114-TODAY())</f>
        <v/>
      </c>
      <c r="J114" s="17" t="str">
        <f aca="true">IF(G114="","—",IF(G114&lt;TODAY(),"فات الموعد",IF(G114-TODAY()&lt;=14,"عاجل (≤14 يوم)","ساري")))</f>
        <v>—</v>
      </c>
      <c r="K114" s="14" t="s">
        <v>12</v>
      </c>
      <c r="L114" s="17" t="s">
        <v>31</v>
      </c>
      <c r="M114" s="14" t="s">
        <v>28</v>
      </c>
      <c r="N114" s="14" t="s">
        <v>28</v>
      </c>
      <c r="O114" s="14" t="s">
        <v>37</v>
      </c>
    </row>
    <row r="115" customFormat="false" ht="15" hidden="false" customHeight="false" outlineLevel="0" collapsed="false">
      <c r="A115" s="9" t="n">
        <v>111</v>
      </c>
      <c r="B115" s="14" t="s">
        <v>417</v>
      </c>
      <c r="C115" s="14" t="s">
        <v>473</v>
      </c>
      <c r="D115" s="14" t="s">
        <v>474</v>
      </c>
      <c r="E115" s="14" t="s">
        <v>475</v>
      </c>
      <c r="F115" s="14" t="s">
        <v>28</v>
      </c>
      <c r="G115" s="15"/>
      <c r="H115" s="14" t="s">
        <v>28</v>
      </c>
      <c r="I115" s="16" t="str">
        <f aca="true">IF(G115="","",G115-TODAY())</f>
        <v/>
      </c>
      <c r="J115" s="17" t="str">
        <f aca="true">IF(G115="","—",IF(G115&lt;TODAY(),"فات الموعد",IF(G115-TODAY()&lt;=14,"عاجل (≤14 يوم)","ساري")))</f>
        <v>—</v>
      </c>
      <c r="K115" s="14" t="s">
        <v>12</v>
      </c>
      <c r="L115" s="17" t="s">
        <v>31</v>
      </c>
      <c r="M115" s="14" t="s">
        <v>476</v>
      </c>
      <c r="N115" s="14" t="s">
        <v>28</v>
      </c>
      <c r="O115" s="14" t="s">
        <v>37</v>
      </c>
    </row>
    <row r="116" customFormat="false" ht="15" hidden="false" customHeight="false" outlineLevel="0" collapsed="false">
      <c r="A116" s="9" t="n">
        <v>112</v>
      </c>
      <c r="B116" s="14" t="s">
        <v>417</v>
      </c>
      <c r="C116" s="14" t="s">
        <v>477</v>
      </c>
      <c r="D116" s="14" t="s">
        <v>478</v>
      </c>
      <c r="E116" s="14" t="s">
        <v>357</v>
      </c>
      <c r="F116" s="14" t="s">
        <v>28</v>
      </c>
      <c r="G116" s="15"/>
      <c r="H116" s="14" t="s">
        <v>479</v>
      </c>
      <c r="I116" s="16" t="str">
        <f aca="true">IF(G116="","",G116-TODAY())</f>
        <v/>
      </c>
      <c r="J116" s="17" t="str">
        <f aca="true">IF(G116="","—",IF(G116&lt;TODAY(),"فات الموعد",IF(G116-TODAY()&lt;=14,"عاجل (≤14 يوم)","ساري")))</f>
        <v>—</v>
      </c>
      <c r="K116" s="14" t="s">
        <v>14</v>
      </c>
      <c r="L116" s="17" t="s">
        <v>30</v>
      </c>
      <c r="M116" s="14" t="s">
        <v>28</v>
      </c>
      <c r="N116" s="14" t="s">
        <v>28</v>
      </c>
      <c r="O116" s="14" t="s">
        <v>37</v>
      </c>
    </row>
    <row r="117" customFormat="false" ht="15" hidden="false" customHeight="false" outlineLevel="0" collapsed="false">
      <c r="A117" s="9" t="n">
        <v>113</v>
      </c>
      <c r="B117" s="14" t="s">
        <v>417</v>
      </c>
      <c r="C117" s="14" t="s">
        <v>480</v>
      </c>
      <c r="D117" s="14" t="s">
        <v>481</v>
      </c>
      <c r="E117" s="14" t="s">
        <v>103</v>
      </c>
      <c r="F117" s="14" t="s">
        <v>28</v>
      </c>
      <c r="G117" s="15"/>
      <c r="H117" s="14" t="s">
        <v>28</v>
      </c>
      <c r="I117" s="16" t="str">
        <f aca="true">IF(G117="","",G117-TODAY())</f>
        <v/>
      </c>
      <c r="J117" s="17" t="str">
        <f aca="true">IF(G117="","—",IF(G117&lt;TODAY(),"فات الموعد",IF(G117-TODAY()&lt;=14,"عاجل (≤14 يوم)","ساري")))</f>
        <v>—</v>
      </c>
      <c r="K117" s="14" t="s">
        <v>12</v>
      </c>
      <c r="L117" s="17" t="s">
        <v>31</v>
      </c>
      <c r="M117" s="14" t="s">
        <v>482</v>
      </c>
      <c r="N117" s="14" t="s">
        <v>28</v>
      </c>
      <c r="O117" s="14" t="s">
        <v>36</v>
      </c>
    </row>
    <row r="118" customFormat="false" ht="15" hidden="false" customHeight="false" outlineLevel="0" collapsed="false">
      <c r="A118" s="9" t="n">
        <v>114</v>
      </c>
      <c r="B118" s="14" t="s">
        <v>417</v>
      </c>
      <c r="C118" s="14" t="s">
        <v>483</v>
      </c>
      <c r="D118" s="14" t="s">
        <v>484</v>
      </c>
      <c r="E118" s="14" t="s">
        <v>103</v>
      </c>
      <c r="F118" s="14" t="s">
        <v>28</v>
      </c>
      <c r="G118" s="15"/>
      <c r="H118" s="14" t="s">
        <v>28</v>
      </c>
      <c r="I118" s="16" t="str">
        <f aca="true">IF(G118="","",G118-TODAY())</f>
        <v/>
      </c>
      <c r="J118" s="17" t="str">
        <f aca="true">IF(G118="","—",IF(G118&lt;TODAY(),"فات الموعد",IF(G118-TODAY()&lt;=14,"عاجل (≤14 يوم)","ساري")))</f>
        <v>—</v>
      </c>
      <c r="K118" s="14" t="s">
        <v>12</v>
      </c>
      <c r="L118" s="17" t="s">
        <v>31</v>
      </c>
      <c r="M118" s="14" t="s">
        <v>485</v>
      </c>
      <c r="N118" s="14" t="s">
        <v>28</v>
      </c>
      <c r="O118" s="14" t="s">
        <v>36</v>
      </c>
    </row>
    <row r="119" customFormat="false" ht="15" hidden="false" customHeight="false" outlineLevel="0" collapsed="false">
      <c r="A119" s="9" t="n">
        <v>115</v>
      </c>
      <c r="B119" s="14" t="s">
        <v>417</v>
      </c>
      <c r="C119" s="14" t="s">
        <v>486</v>
      </c>
      <c r="D119" s="14" t="s">
        <v>487</v>
      </c>
      <c r="E119" s="14" t="s">
        <v>208</v>
      </c>
      <c r="F119" s="14" t="s">
        <v>28</v>
      </c>
      <c r="G119" s="15"/>
      <c r="H119" s="14" t="s">
        <v>28</v>
      </c>
      <c r="I119" s="16" t="str">
        <f aca="true">IF(G119="","",G119-TODAY())</f>
        <v/>
      </c>
      <c r="J119" s="17" t="str">
        <f aca="true">IF(G119="","—",IF(G119&lt;TODAY(),"فات الموعد",IF(G119-TODAY()&lt;=14,"عاجل (≤14 يوم)","ساري")))</f>
        <v>—</v>
      </c>
      <c r="K119" s="14" t="s">
        <v>12</v>
      </c>
      <c r="L119" s="17" t="s">
        <v>31</v>
      </c>
      <c r="M119" s="14" t="s">
        <v>28</v>
      </c>
      <c r="N119" s="14" t="s">
        <v>28</v>
      </c>
      <c r="O119" s="14" t="s">
        <v>36</v>
      </c>
    </row>
    <row r="120" customFormat="false" ht="15" hidden="false" customHeight="false" outlineLevel="0" collapsed="false">
      <c r="A120" s="9" t="n">
        <v>116</v>
      </c>
      <c r="B120" s="14" t="s">
        <v>417</v>
      </c>
      <c r="C120" s="14" t="s">
        <v>488</v>
      </c>
      <c r="D120" s="14" t="s">
        <v>489</v>
      </c>
      <c r="E120" s="14" t="s">
        <v>103</v>
      </c>
      <c r="F120" s="14" t="s">
        <v>28</v>
      </c>
      <c r="G120" s="15"/>
      <c r="H120" s="14" t="s">
        <v>28</v>
      </c>
      <c r="I120" s="16" t="str">
        <f aca="true">IF(G120="","",G120-TODAY())</f>
        <v/>
      </c>
      <c r="J120" s="17" t="str">
        <f aca="true">IF(G120="","—",IF(G120&lt;TODAY(),"فات الموعد",IF(G120-TODAY()&lt;=14,"عاجل (≤14 يوم)","ساري")))</f>
        <v>—</v>
      </c>
      <c r="K120" s="14" t="s">
        <v>12</v>
      </c>
      <c r="L120" s="17" t="s">
        <v>31</v>
      </c>
      <c r="M120" s="14" t="s">
        <v>482</v>
      </c>
      <c r="N120" s="14" t="s">
        <v>28</v>
      </c>
      <c r="O120" s="14" t="s">
        <v>36</v>
      </c>
    </row>
    <row r="121" customFormat="false" ht="23.85" hidden="false" customHeight="false" outlineLevel="0" collapsed="false">
      <c r="A121" s="9" t="n">
        <v>117</v>
      </c>
      <c r="B121" s="14" t="s">
        <v>417</v>
      </c>
      <c r="C121" s="14" t="s">
        <v>490</v>
      </c>
      <c r="D121" s="14" t="s">
        <v>491</v>
      </c>
      <c r="E121" s="14" t="s">
        <v>492</v>
      </c>
      <c r="F121" s="14" t="s">
        <v>28</v>
      </c>
      <c r="G121" s="15"/>
      <c r="H121" s="14" t="s">
        <v>28</v>
      </c>
      <c r="I121" s="16" t="str">
        <f aca="true">IF(G121="","",G121-TODAY())</f>
        <v/>
      </c>
      <c r="J121" s="17" t="str">
        <f aca="true">IF(G121="","—",IF(G121&lt;TODAY(),"فات الموعد",IF(G121-TODAY()&lt;=14,"عاجل (≤14 يوم)","ساري")))</f>
        <v>—</v>
      </c>
      <c r="K121" s="14" t="s">
        <v>12</v>
      </c>
      <c r="L121" s="17" t="s">
        <v>32</v>
      </c>
      <c r="M121" s="14" t="s">
        <v>28</v>
      </c>
      <c r="N121" s="14" t="s">
        <v>28</v>
      </c>
      <c r="O121" s="14" t="s">
        <v>36</v>
      </c>
    </row>
    <row r="122" customFormat="false" ht="15" hidden="false" customHeight="false" outlineLevel="0" collapsed="false">
      <c r="A122" s="9" t="n">
        <v>118</v>
      </c>
      <c r="B122" s="14" t="s">
        <v>417</v>
      </c>
      <c r="C122" s="14" t="s">
        <v>493</v>
      </c>
      <c r="D122" s="14" t="s">
        <v>494</v>
      </c>
      <c r="E122" s="14" t="s">
        <v>103</v>
      </c>
      <c r="F122" s="14" t="s">
        <v>28</v>
      </c>
      <c r="G122" s="15"/>
      <c r="H122" s="14" t="s">
        <v>28</v>
      </c>
      <c r="I122" s="16" t="str">
        <f aca="true">IF(G122="","",G122-TODAY())</f>
        <v/>
      </c>
      <c r="J122" s="17" t="str">
        <f aca="true">IF(G122="","—",IF(G122&lt;TODAY(),"فات الموعد",IF(G122-TODAY()&lt;=14,"عاجل (≤14 يوم)","ساري")))</f>
        <v>—</v>
      </c>
      <c r="K122" s="14" t="s">
        <v>12</v>
      </c>
      <c r="L122" s="17" t="s">
        <v>32</v>
      </c>
      <c r="M122" s="14" t="s">
        <v>28</v>
      </c>
      <c r="N122" s="14" t="s">
        <v>28</v>
      </c>
      <c r="O122" s="14" t="s">
        <v>36</v>
      </c>
    </row>
    <row r="123" customFormat="false" ht="15" hidden="false" customHeight="false" outlineLevel="0" collapsed="false">
      <c r="A123" s="9" t="n">
        <v>119</v>
      </c>
      <c r="B123" s="14" t="s">
        <v>417</v>
      </c>
      <c r="C123" s="14" t="s">
        <v>495</v>
      </c>
      <c r="D123" s="14" t="s">
        <v>496</v>
      </c>
      <c r="E123" s="14" t="s">
        <v>103</v>
      </c>
      <c r="F123" s="14" t="s">
        <v>28</v>
      </c>
      <c r="G123" s="15"/>
      <c r="H123" s="14" t="s">
        <v>28</v>
      </c>
      <c r="I123" s="16" t="str">
        <f aca="true">IF(G123="","",G123-TODAY())</f>
        <v/>
      </c>
      <c r="J123" s="17" t="str">
        <f aca="true">IF(G123="","—",IF(G123&lt;TODAY(),"فات الموعد",IF(G123-TODAY()&lt;=14,"عاجل (≤14 يوم)","ساري")))</f>
        <v>—</v>
      </c>
      <c r="K123" s="14" t="s">
        <v>16</v>
      </c>
      <c r="L123" s="17" t="s">
        <v>32</v>
      </c>
      <c r="M123" s="14" t="s">
        <v>497</v>
      </c>
      <c r="N123" s="14" t="s">
        <v>28</v>
      </c>
      <c r="O123" s="14" t="s">
        <v>36</v>
      </c>
    </row>
    <row r="124" customFormat="false" ht="15" hidden="false" customHeight="false" outlineLevel="0" collapsed="false">
      <c r="A124" s="9" t="n">
        <v>120</v>
      </c>
      <c r="B124" s="14" t="s">
        <v>417</v>
      </c>
      <c r="C124" s="14" t="s">
        <v>498</v>
      </c>
      <c r="D124" s="14" t="s">
        <v>499</v>
      </c>
      <c r="E124" s="14" t="s">
        <v>500</v>
      </c>
      <c r="F124" s="14" t="s">
        <v>28</v>
      </c>
      <c r="G124" s="15"/>
      <c r="H124" s="14" t="s">
        <v>28</v>
      </c>
      <c r="I124" s="16" t="str">
        <f aca="true">IF(G124="","",G124-TODAY())</f>
        <v/>
      </c>
      <c r="J124" s="17" t="str">
        <f aca="true">IF(G124="","—",IF(G124&lt;TODAY(),"فات الموعد",IF(G124-TODAY()&lt;=14,"عاجل (≤14 يوم)","ساري")))</f>
        <v>—</v>
      </c>
      <c r="K124" s="14" t="s">
        <v>12</v>
      </c>
      <c r="L124" s="17" t="s">
        <v>31</v>
      </c>
      <c r="M124" s="14" t="s">
        <v>28</v>
      </c>
      <c r="N124" s="14" t="s">
        <v>28</v>
      </c>
      <c r="O124" s="14" t="s">
        <v>37</v>
      </c>
    </row>
    <row r="125" customFormat="false" ht="23.85" hidden="false" customHeight="false" outlineLevel="0" collapsed="false">
      <c r="A125" s="9" t="n">
        <v>121</v>
      </c>
      <c r="B125" s="14" t="s">
        <v>417</v>
      </c>
      <c r="C125" s="14" t="s">
        <v>501</v>
      </c>
      <c r="D125" s="14" t="s">
        <v>502</v>
      </c>
      <c r="E125" s="14" t="s">
        <v>103</v>
      </c>
      <c r="F125" s="14" t="s">
        <v>503</v>
      </c>
      <c r="G125" s="15"/>
      <c r="H125" s="14" t="s">
        <v>28</v>
      </c>
      <c r="I125" s="16" t="str">
        <f aca="true">IF(G125="","",G125-TODAY())</f>
        <v/>
      </c>
      <c r="J125" s="17" t="str">
        <f aca="true">IF(G125="","—",IF(G125&lt;TODAY(),"فات الموعد",IF(G125-TODAY()&lt;=14,"عاجل (≤14 يوم)","ساري")))</f>
        <v>—</v>
      </c>
      <c r="K125" s="14" t="s">
        <v>12</v>
      </c>
      <c r="L125" s="17" t="s">
        <v>32</v>
      </c>
      <c r="M125" s="14" t="s">
        <v>504</v>
      </c>
      <c r="N125" s="14" t="s">
        <v>28</v>
      </c>
      <c r="O125" s="14" t="s">
        <v>35</v>
      </c>
    </row>
    <row r="126" customFormat="false" ht="15" hidden="false" customHeight="false" outlineLevel="0" collapsed="false">
      <c r="A126" s="9" t="n">
        <v>122</v>
      </c>
      <c r="B126" s="14" t="s">
        <v>417</v>
      </c>
      <c r="C126" s="14" t="s">
        <v>505</v>
      </c>
      <c r="D126" s="14" t="s">
        <v>506</v>
      </c>
      <c r="E126" s="14" t="s">
        <v>83</v>
      </c>
      <c r="F126" s="14" t="s">
        <v>507</v>
      </c>
      <c r="G126" s="15"/>
      <c r="H126" s="14" t="s">
        <v>28</v>
      </c>
      <c r="I126" s="16" t="str">
        <f aca="true">IF(G126="","",G126-TODAY())</f>
        <v/>
      </c>
      <c r="J126" s="17" t="str">
        <f aca="true">IF(G126="","—",IF(G126&lt;TODAY(),"فات الموعد",IF(G126-TODAY()&lt;=14,"عاجل (≤14 يوم)","ساري")))</f>
        <v>—</v>
      </c>
      <c r="K126" s="14" t="s">
        <v>16</v>
      </c>
      <c r="L126" s="17" t="s">
        <v>30</v>
      </c>
      <c r="M126" s="14" t="s">
        <v>508</v>
      </c>
      <c r="N126" s="14" t="s">
        <v>28</v>
      </c>
      <c r="O126" s="14" t="s">
        <v>37</v>
      </c>
    </row>
    <row r="127" customFormat="false" ht="15" hidden="false" customHeight="false" outlineLevel="0" collapsed="false">
      <c r="A127" s="9" t="n">
        <v>123</v>
      </c>
      <c r="B127" s="14" t="s">
        <v>417</v>
      </c>
      <c r="C127" s="14" t="s">
        <v>505</v>
      </c>
      <c r="D127" s="14" t="s">
        <v>509</v>
      </c>
      <c r="E127" s="14" t="s">
        <v>125</v>
      </c>
      <c r="F127" s="14" t="s">
        <v>28</v>
      </c>
      <c r="G127" s="15"/>
      <c r="H127" s="14" t="s">
        <v>28</v>
      </c>
      <c r="I127" s="16" t="str">
        <f aca="true">IF(G127="","",G127-TODAY())</f>
        <v/>
      </c>
      <c r="J127" s="17" t="str">
        <f aca="true">IF(G127="","—",IF(G127&lt;TODAY(),"فات الموعد",IF(G127-TODAY()&lt;=14,"عاجل (≤14 يوم)","ساري")))</f>
        <v>—</v>
      </c>
      <c r="K127" s="14" t="s">
        <v>20</v>
      </c>
      <c r="L127" s="17" t="s">
        <v>28</v>
      </c>
      <c r="M127" s="14" t="s">
        <v>510</v>
      </c>
      <c r="N127" s="14" t="s">
        <v>28</v>
      </c>
      <c r="O127" s="14" t="s">
        <v>36</v>
      </c>
    </row>
    <row r="128" customFormat="false" ht="15" hidden="false" customHeight="false" outlineLevel="0" collapsed="false">
      <c r="A128" s="9" t="n">
        <v>124</v>
      </c>
      <c r="B128" s="14" t="s">
        <v>511</v>
      </c>
      <c r="C128" s="14" t="s">
        <v>512</v>
      </c>
      <c r="D128" s="14" t="s">
        <v>513</v>
      </c>
      <c r="E128" s="14" t="s">
        <v>103</v>
      </c>
      <c r="F128" s="14" t="s">
        <v>28</v>
      </c>
      <c r="G128" s="15"/>
      <c r="H128" s="14" t="s">
        <v>28</v>
      </c>
      <c r="I128" s="16" t="str">
        <f aca="true">IF(G128="","",G128-TODAY())</f>
        <v/>
      </c>
      <c r="J128" s="17" t="str">
        <f aca="true">IF(G128="","—",IF(G128&lt;TODAY(),"فات الموعد",IF(G128-TODAY()&lt;=14,"عاجل (≤14 يوم)","ساري")))</f>
        <v>—</v>
      </c>
      <c r="K128" s="14" t="s">
        <v>8</v>
      </c>
      <c r="L128" s="17" t="s">
        <v>31</v>
      </c>
      <c r="M128" s="14" t="s">
        <v>377</v>
      </c>
      <c r="N128" s="14" t="s">
        <v>28</v>
      </c>
      <c r="O128" s="14" t="s">
        <v>36</v>
      </c>
    </row>
    <row r="129" customFormat="false" ht="15" hidden="false" customHeight="false" outlineLevel="0" collapsed="false">
      <c r="A129" s="9" t="n">
        <v>125</v>
      </c>
      <c r="B129" s="14" t="s">
        <v>511</v>
      </c>
      <c r="C129" s="14" t="s">
        <v>514</v>
      </c>
      <c r="D129" s="14" t="s">
        <v>515</v>
      </c>
      <c r="E129" s="14" t="s">
        <v>103</v>
      </c>
      <c r="F129" s="14" t="s">
        <v>28</v>
      </c>
      <c r="G129" s="15"/>
      <c r="H129" s="14" t="s">
        <v>28</v>
      </c>
      <c r="I129" s="16" t="str">
        <f aca="true">IF(G129="","",G129-TODAY())</f>
        <v/>
      </c>
      <c r="J129" s="17" t="str">
        <f aca="true">IF(G129="","—",IF(G129&lt;TODAY(),"فات الموعد",IF(G129-TODAY()&lt;=14,"عاجل (≤14 يوم)","ساري")))</f>
        <v>—</v>
      </c>
      <c r="K129" s="14" t="s">
        <v>8</v>
      </c>
      <c r="L129" s="17" t="s">
        <v>31</v>
      </c>
      <c r="M129" s="14" t="s">
        <v>516</v>
      </c>
      <c r="N129" s="14" t="s">
        <v>28</v>
      </c>
      <c r="O129" s="14" t="s">
        <v>36</v>
      </c>
    </row>
    <row r="130" customFormat="false" ht="15" hidden="false" customHeight="false" outlineLevel="0" collapsed="false">
      <c r="A130" s="9" t="n">
        <v>126</v>
      </c>
      <c r="B130" s="14" t="s">
        <v>511</v>
      </c>
      <c r="C130" s="14" t="s">
        <v>517</v>
      </c>
      <c r="D130" s="14" t="s">
        <v>518</v>
      </c>
      <c r="E130" s="14" t="s">
        <v>519</v>
      </c>
      <c r="F130" s="14" t="s">
        <v>28</v>
      </c>
      <c r="G130" s="15"/>
      <c r="H130" s="14" t="s">
        <v>28</v>
      </c>
      <c r="I130" s="16" t="str">
        <f aca="true">IF(G130="","",G130-TODAY())</f>
        <v/>
      </c>
      <c r="J130" s="17" t="str">
        <f aca="true">IF(G130="","—",IF(G130&lt;TODAY(),"فات الموعد",IF(G130-TODAY()&lt;=14,"عاجل (≤14 يوم)","ساري")))</f>
        <v>—</v>
      </c>
      <c r="K130" s="14" t="s">
        <v>12</v>
      </c>
      <c r="L130" s="17" t="s">
        <v>31</v>
      </c>
      <c r="M130" s="14" t="s">
        <v>482</v>
      </c>
      <c r="N130" s="14" t="s">
        <v>28</v>
      </c>
      <c r="O130" s="14" t="s">
        <v>36</v>
      </c>
    </row>
    <row r="131" customFormat="false" ht="15" hidden="false" customHeight="false" outlineLevel="0" collapsed="false">
      <c r="A131" s="9" t="n">
        <v>127</v>
      </c>
      <c r="B131" s="14" t="s">
        <v>511</v>
      </c>
      <c r="C131" s="14" t="s">
        <v>520</v>
      </c>
      <c r="D131" s="14" t="s">
        <v>521</v>
      </c>
      <c r="E131" s="14" t="s">
        <v>103</v>
      </c>
      <c r="F131" s="14" t="s">
        <v>28</v>
      </c>
      <c r="G131" s="15"/>
      <c r="H131" s="14" t="s">
        <v>28</v>
      </c>
      <c r="I131" s="16" t="str">
        <f aca="true">IF(G131="","",G131-TODAY())</f>
        <v/>
      </c>
      <c r="J131" s="17" t="str">
        <f aca="true">IF(G131="","—",IF(G131&lt;TODAY(),"فات الموعد",IF(G131-TODAY()&lt;=14,"عاجل (≤14 يوم)","ساري")))</f>
        <v>—</v>
      </c>
      <c r="K131" s="14" t="s">
        <v>12</v>
      </c>
      <c r="L131" s="17" t="s">
        <v>32</v>
      </c>
      <c r="M131" s="14" t="s">
        <v>522</v>
      </c>
      <c r="N131" s="14" t="s">
        <v>28</v>
      </c>
      <c r="O131" s="14" t="s">
        <v>36</v>
      </c>
    </row>
    <row r="132" customFormat="false" ht="15" hidden="false" customHeight="false" outlineLevel="0" collapsed="false">
      <c r="A132" s="9" t="n">
        <v>128</v>
      </c>
      <c r="B132" s="14" t="s">
        <v>511</v>
      </c>
      <c r="C132" s="14" t="s">
        <v>523</v>
      </c>
      <c r="D132" s="14" t="s">
        <v>28</v>
      </c>
      <c r="E132" s="14" t="s">
        <v>28</v>
      </c>
      <c r="F132" s="14" t="s">
        <v>28</v>
      </c>
      <c r="G132" s="15"/>
      <c r="H132" s="14" t="s">
        <v>28</v>
      </c>
      <c r="I132" s="16" t="str">
        <f aca="true">IF(G132="","",G132-TODAY())</f>
        <v/>
      </c>
      <c r="J132" s="17" t="str">
        <f aca="true">IF(G132="","—",IF(G132&lt;TODAY(),"فات الموعد",IF(G132-TODAY()&lt;=14,"عاجل (≤14 يوم)","ساري")))</f>
        <v>—</v>
      </c>
      <c r="K132" s="14" t="s">
        <v>20</v>
      </c>
      <c r="L132" s="17" t="s">
        <v>28</v>
      </c>
      <c r="M132" s="14" t="s">
        <v>524</v>
      </c>
      <c r="N132" s="14" t="s">
        <v>28</v>
      </c>
      <c r="O132" s="14" t="s">
        <v>36</v>
      </c>
    </row>
    <row r="133" customFormat="false" ht="15" hidden="false" customHeight="false" outlineLevel="0" collapsed="false">
      <c r="A133" s="9" t="n">
        <v>129</v>
      </c>
      <c r="B133" s="14" t="s">
        <v>525</v>
      </c>
      <c r="C133" s="14" t="s">
        <v>526</v>
      </c>
      <c r="D133" s="14" t="s">
        <v>527</v>
      </c>
      <c r="E133" s="14" t="s">
        <v>528</v>
      </c>
      <c r="F133" s="14" t="s">
        <v>28</v>
      </c>
      <c r="G133" s="15"/>
      <c r="H133" s="14" t="s">
        <v>28</v>
      </c>
      <c r="I133" s="16" t="str">
        <f aca="true">IF(G133="","",G133-TODAY())</f>
        <v/>
      </c>
      <c r="J133" s="17" t="str">
        <f aca="true">IF(G133="","—",IF(G133&lt;TODAY(),"فات الموعد",IF(G133-TODAY()&lt;=14,"عاجل (≤14 يوم)","ساري")))</f>
        <v>—</v>
      </c>
      <c r="K133" s="14" t="s">
        <v>8</v>
      </c>
      <c r="L133" s="17" t="s">
        <v>30</v>
      </c>
      <c r="M133" s="14" t="s">
        <v>529</v>
      </c>
      <c r="N133" s="14" t="s">
        <v>28</v>
      </c>
      <c r="O133" s="14" t="s">
        <v>36</v>
      </c>
    </row>
    <row r="134" customFormat="false" ht="15" hidden="false" customHeight="false" outlineLevel="0" collapsed="false">
      <c r="A134" s="9" t="n">
        <v>130</v>
      </c>
      <c r="B134" s="14" t="s">
        <v>525</v>
      </c>
      <c r="C134" s="14" t="s">
        <v>530</v>
      </c>
      <c r="D134" s="14" t="s">
        <v>531</v>
      </c>
      <c r="E134" s="14" t="s">
        <v>532</v>
      </c>
      <c r="F134" s="14" t="s">
        <v>28</v>
      </c>
      <c r="G134" s="15"/>
      <c r="H134" s="14" t="s">
        <v>28</v>
      </c>
      <c r="I134" s="16" t="str">
        <f aca="true">IF(G134="","",G134-TODAY())</f>
        <v/>
      </c>
      <c r="J134" s="17" t="str">
        <f aca="true">IF(G134="","—",IF(G134&lt;TODAY(),"فات الموعد",IF(G134-TODAY()&lt;=14,"عاجل (≤14 يوم)","ساري")))</f>
        <v>—</v>
      </c>
      <c r="K134" s="14" t="s">
        <v>12</v>
      </c>
      <c r="L134" s="17" t="s">
        <v>31</v>
      </c>
      <c r="M134" s="14" t="s">
        <v>482</v>
      </c>
      <c r="N134" s="14" t="s">
        <v>28</v>
      </c>
      <c r="O134" s="14" t="s">
        <v>36</v>
      </c>
    </row>
    <row r="135" customFormat="false" ht="23.85" hidden="false" customHeight="false" outlineLevel="0" collapsed="false">
      <c r="A135" s="9" t="n">
        <v>131</v>
      </c>
      <c r="B135" s="14" t="s">
        <v>525</v>
      </c>
      <c r="C135" s="14" t="s">
        <v>533</v>
      </c>
      <c r="D135" s="14" t="s">
        <v>534</v>
      </c>
      <c r="E135" s="14" t="s">
        <v>125</v>
      </c>
      <c r="F135" s="14" t="s">
        <v>534</v>
      </c>
      <c r="G135" s="15"/>
      <c r="H135" s="14" t="s">
        <v>535</v>
      </c>
      <c r="I135" s="16" t="str">
        <f aca="true">IF(G135="","",G135-TODAY())</f>
        <v/>
      </c>
      <c r="J135" s="17" t="str">
        <f aca="true">IF(G135="","—",IF(G135&lt;TODAY(),"فات الموعد",IF(G135-TODAY()&lt;=14,"عاجل (≤14 يوم)","ساري")))</f>
        <v>—</v>
      </c>
      <c r="K135" s="14" t="s">
        <v>16</v>
      </c>
      <c r="L135" s="17" t="s">
        <v>30</v>
      </c>
      <c r="M135" s="14" t="s">
        <v>536</v>
      </c>
      <c r="N135" s="14" t="s">
        <v>28</v>
      </c>
      <c r="O135" s="14" t="s">
        <v>36</v>
      </c>
    </row>
    <row r="136" customFormat="false" ht="23.85" hidden="false" customHeight="false" outlineLevel="0" collapsed="false">
      <c r="A136" s="9" t="n">
        <v>132</v>
      </c>
      <c r="B136" s="14" t="s">
        <v>525</v>
      </c>
      <c r="C136" s="14" t="s">
        <v>537</v>
      </c>
      <c r="D136" s="14" t="s">
        <v>538</v>
      </c>
      <c r="E136" s="14" t="s">
        <v>449</v>
      </c>
      <c r="F136" s="14" t="s">
        <v>28</v>
      </c>
      <c r="G136" s="15"/>
      <c r="H136" s="14" t="s">
        <v>28</v>
      </c>
      <c r="I136" s="16" t="str">
        <f aca="true">IF(G136="","",G136-TODAY())</f>
        <v/>
      </c>
      <c r="J136" s="17" t="str">
        <f aca="true">IF(G136="","—",IF(G136&lt;TODAY(),"فات الموعد",IF(G136-TODAY()&lt;=14,"عاجل (≤14 يوم)","ساري")))</f>
        <v>—</v>
      </c>
      <c r="K136" s="14" t="s">
        <v>12</v>
      </c>
      <c r="L136" s="17" t="s">
        <v>31</v>
      </c>
      <c r="M136" s="14" t="s">
        <v>28</v>
      </c>
      <c r="N136" s="14" t="s">
        <v>28</v>
      </c>
      <c r="O136" s="14" t="s">
        <v>37</v>
      </c>
    </row>
    <row r="137" customFormat="false" ht="15" hidden="false" customHeight="false" outlineLevel="0" collapsed="false">
      <c r="A137" s="9" t="n">
        <v>133</v>
      </c>
      <c r="B137" s="14" t="s">
        <v>525</v>
      </c>
      <c r="C137" s="14" t="s">
        <v>539</v>
      </c>
      <c r="D137" s="14" t="s">
        <v>540</v>
      </c>
      <c r="E137" s="14" t="s">
        <v>103</v>
      </c>
      <c r="F137" s="14" t="s">
        <v>116</v>
      </c>
      <c r="G137" s="15"/>
      <c r="H137" s="14" t="s">
        <v>28</v>
      </c>
      <c r="I137" s="16" t="str">
        <f aca="true">IF(G137="","",G137-TODAY())</f>
        <v/>
      </c>
      <c r="J137" s="17" t="str">
        <f aca="true">IF(G137="","—",IF(G137&lt;TODAY(),"فات الموعد",IF(G137-TODAY()&lt;=14,"عاجل (≤14 يوم)","ساري")))</f>
        <v>—</v>
      </c>
      <c r="K137" s="14" t="s">
        <v>12</v>
      </c>
      <c r="L137" s="17" t="s">
        <v>32</v>
      </c>
      <c r="M137" s="14" t="s">
        <v>28</v>
      </c>
      <c r="N137" s="14" t="s">
        <v>28</v>
      </c>
      <c r="O137" s="14" t="s">
        <v>37</v>
      </c>
    </row>
    <row r="138" customFormat="false" ht="15" hidden="false" customHeight="false" outlineLevel="0" collapsed="false">
      <c r="A138" s="9" t="n">
        <v>134</v>
      </c>
      <c r="B138" s="14" t="s">
        <v>525</v>
      </c>
      <c r="C138" s="14" t="s">
        <v>541</v>
      </c>
      <c r="D138" s="14" t="s">
        <v>28</v>
      </c>
      <c r="E138" s="14" t="s">
        <v>125</v>
      </c>
      <c r="F138" s="14" t="s">
        <v>116</v>
      </c>
      <c r="G138" s="15"/>
      <c r="H138" s="14" t="s">
        <v>542</v>
      </c>
      <c r="I138" s="16" t="str">
        <f aca="true">IF(G138="","",G138-TODAY())</f>
        <v/>
      </c>
      <c r="J138" s="17" t="str">
        <f aca="true">IF(G138="","—",IF(G138&lt;TODAY(),"فات الموعد",IF(G138-TODAY()&lt;=14,"عاجل (≤14 يوم)","ساري")))</f>
        <v>—</v>
      </c>
      <c r="K138" s="14" t="s">
        <v>14</v>
      </c>
      <c r="L138" s="17" t="s">
        <v>31</v>
      </c>
      <c r="M138" s="14" t="s">
        <v>28</v>
      </c>
      <c r="N138" s="14" t="s">
        <v>28</v>
      </c>
      <c r="O138" s="14" t="s">
        <v>36</v>
      </c>
    </row>
    <row r="139" customFormat="false" ht="15" hidden="false" customHeight="false" outlineLevel="0" collapsed="false">
      <c r="A139" s="9" t="n">
        <v>135</v>
      </c>
      <c r="B139" s="14" t="s">
        <v>543</v>
      </c>
      <c r="C139" s="14" t="s">
        <v>544</v>
      </c>
      <c r="D139" s="14" t="s">
        <v>545</v>
      </c>
      <c r="E139" s="14" t="s">
        <v>546</v>
      </c>
      <c r="F139" s="14" t="s">
        <v>547</v>
      </c>
      <c r="G139" s="15" t="n">
        <v>46357</v>
      </c>
      <c r="H139" s="14" t="s">
        <v>548</v>
      </c>
      <c r="I139" s="16" t="n">
        <f aca="true">IF(G139="","",G139-TODAY())</f>
        <v>55</v>
      </c>
      <c r="J139" s="17" t="str">
        <f aca="true">IF(G139="","—",IF(G139&lt;TODAY(),"فات الموعد",IF(G139-TODAY()&lt;=14,"عاجل (≤14 يوم)","ساري")))</f>
        <v>ساري</v>
      </c>
      <c r="K139" s="14" t="s">
        <v>10</v>
      </c>
      <c r="L139" s="17" t="s">
        <v>30</v>
      </c>
      <c r="M139" s="14" t="s">
        <v>549</v>
      </c>
      <c r="N139" s="14" t="s">
        <v>28</v>
      </c>
      <c r="O139" s="14" t="s">
        <v>36</v>
      </c>
    </row>
    <row r="140" customFormat="false" ht="15" hidden="false" customHeight="false" outlineLevel="0" collapsed="false">
      <c r="A140" s="9" t="n">
        <v>136</v>
      </c>
      <c r="B140" s="14" t="s">
        <v>543</v>
      </c>
      <c r="C140" s="14" t="s">
        <v>550</v>
      </c>
      <c r="D140" s="14" t="s">
        <v>551</v>
      </c>
      <c r="E140" s="14" t="s">
        <v>449</v>
      </c>
      <c r="F140" s="14" t="s">
        <v>28</v>
      </c>
      <c r="G140" s="15"/>
      <c r="H140" s="14" t="s">
        <v>28</v>
      </c>
      <c r="I140" s="16" t="str">
        <f aca="true">IF(G140="","",G140-TODAY())</f>
        <v/>
      </c>
      <c r="J140" s="17" t="str">
        <f aca="true">IF(G140="","—",IF(G140&lt;TODAY(),"فات الموعد",IF(G140-TODAY()&lt;=14,"عاجل (≤14 يوم)","ساري")))</f>
        <v>—</v>
      </c>
      <c r="K140" s="14" t="s">
        <v>12</v>
      </c>
      <c r="L140" s="17" t="s">
        <v>31</v>
      </c>
      <c r="M140" s="14" t="s">
        <v>28</v>
      </c>
      <c r="N140" s="14" t="s">
        <v>28</v>
      </c>
      <c r="O140" s="14" t="s">
        <v>37</v>
      </c>
    </row>
    <row r="141" customFormat="false" ht="23.85" hidden="false" customHeight="false" outlineLevel="0" collapsed="false">
      <c r="A141" s="9" t="n">
        <v>137</v>
      </c>
      <c r="B141" s="14" t="s">
        <v>543</v>
      </c>
      <c r="C141" s="14" t="s">
        <v>552</v>
      </c>
      <c r="D141" s="14" t="s">
        <v>553</v>
      </c>
      <c r="E141" s="14" t="s">
        <v>554</v>
      </c>
      <c r="F141" s="14" t="s">
        <v>28</v>
      </c>
      <c r="G141" s="15"/>
      <c r="H141" s="14" t="s">
        <v>28</v>
      </c>
      <c r="I141" s="16" t="str">
        <f aca="true">IF(G141="","",G141-TODAY())</f>
        <v/>
      </c>
      <c r="J141" s="17" t="str">
        <f aca="true">IF(G141="","—",IF(G141&lt;TODAY(),"فات الموعد",IF(G141-TODAY()&lt;=14,"عاجل (≤14 يوم)","ساري")))</f>
        <v>—</v>
      </c>
      <c r="K141" s="14" t="s">
        <v>12</v>
      </c>
      <c r="L141" s="17" t="s">
        <v>31</v>
      </c>
      <c r="M141" s="14" t="s">
        <v>28</v>
      </c>
      <c r="N141" s="14" t="s">
        <v>28</v>
      </c>
      <c r="O141" s="14" t="s">
        <v>37</v>
      </c>
    </row>
    <row r="142" customFormat="false" ht="23.85" hidden="false" customHeight="false" outlineLevel="0" collapsed="false">
      <c r="A142" s="9" t="n">
        <v>138</v>
      </c>
      <c r="B142" s="14" t="s">
        <v>555</v>
      </c>
      <c r="C142" s="14" t="s">
        <v>556</v>
      </c>
      <c r="D142" s="14" t="s">
        <v>557</v>
      </c>
      <c r="E142" s="14" t="s">
        <v>103</v>
      </c>
      <c r="F142" s="14" t="s">
        <v>116</v>
      </c>
      <c r="G142" s="15"/>
      <c r="H142" s="14" t="s">
        <v>558</v>
      </c>
      <c r="I142" s="16" t="str">
        <f aca="true">IF(G142="","",G142-TODAY())</f>
        <v/>
      </c>
      <c r="J142" s="17" t="str">
        <f aca="true">IF(G142="","—",IF(G142&lt;TODAY(),"فات الموعد",IF(G142-TODAY()&lt;=14,"عاجل (≤14 يوم)","ساري")))</f>
        <v>—</v>
      </c>
      <c r="K142" s="14" t="s">
        <v>14</v>
      </c>
      <c r="L142" s="17" t="s">
        <v>30</v>
      </c>
      <c r="M142" s="14" t="s">
        <v>28</v>
      </c>
      <c r="N142" s="14" t="s">
        <v>28</v>
      </c>
      <c r="O142" s="14" t="s">
        <v>36</v>
      </c>
    </row>
    <row r="143" customFormat="false" ht="15" hidden="false" customHeight="false" outlineLevel="0" collapsed="false">
      <c r="A143" s="9" t="n">
        <v>139</v>
      </c>
      <c r="B143" s="14" t="s">
        <v>555</v>
      </c>
      <c r="C143" s="14" t="s">
        <v>559</v>
      </c>
      <c r="D143" s="14" t="s">
        <v>560</v>
      </c>
      <c r="E143" s="14" t="s">
        <v>125</v>
      </c>
      <c r="F143" s="14" t="s">
        <v>561</v>
      </c>
      <c r="G143" s="15"/>
      <c r="H143" s="14" t="s">
        <v>28</v>
      </c>
      <c r="I143" s="16" t="str">
        <f aca="true">IF(G143="","",G143-TODAY())</f>
        <v/>
      </c>
      <c r="J143" s="17" t="str">
        <f aca="true">IF(G143="","—",IF(G143&lt;TODAY(),"فات الموعد",IF(G143-TODAY()&lt;=14,"عاجل (≤14 يوم)","ساري")))</f>
        <v>—</v>
      </c>
      <c r="K143" s="14" t="s">
        <v>16</v>
      </c>
      <c r="L143" s="17" t="s">
        <v>31</v>
      </c>
      <c r="M143" s="14" t="s">
        <v>28</v>
      </c>
      <c r="N143" s="14" t="s">
        <v>28</v>
      </c>
      <c r="O143" s="14" t="s">
        <v>37</v>
      </c>
    </row>
    <row r="144" customFormat="false" ht="23.85" hidden="false" customHeight="false" outlineLevel="0" collapsed="false">
      <c r="A144" s="9" t="n">
        <v>140</v>
      </c>
      <c r="B144" s="14" t="s">
        <v>555</v>
      </c>
      <c r="C144" s="14" t="s">
        <v>562</v>
      </c>
      <c r="D144" s="14" t="s">
        <v>563</v>
      </c>
      <c r="E144" s="14" t="s">
        <v>564</v>
      </c>
      <c r="F144" s="14" t="s">
        <v>28</v>
      </c>
      <c r="G144" s="15"/>
      <c r="H144" s="14" t="s">
        <v>28</v>
      </c>
      <c r="I144" s="16" t="str">
        <f aca="true">IF(G144="","",G144-TODAY())</f>
        <v/>
      </c>
      <c r="J144" s="17" t="str">
        <f aca="true">IF(G144="","—",IF(G144&lt;TODAY(),"فات الموعد",IF(G144-TODAY()&lt;=14,"عاجل (≤14 يوم)","ساري")))</f>
        <v>—</v>
      </c>
      <c r="K144" s="14" t="s">
        <v>16</v>
      </c>
      <c r="L144" s="17" t="s">
        <v>31</v>
      </c>
      <c r="M144" s="14" t="s">
        <v>28</v>
      </c>
      <c r="N144" s="14" t="s">
        <v>28</v>
      </c>
      <c r="O144" s="14" t="s">
        <v>37</v>
      </c>
    </row>
    <row r="145" customFormat="false" ht="15" hidden="false" customHeight="false" outlineLevel="0" collapsed="false">
      <c r="A145" s="9" t="n">
        <v>141</v>
      </c>
      <c r="B145" s="14" t="s">
        <v>565</v>
      </c>
      <c r="C145" s="14" t="s">
        <v>566</v>
      </c>
      <c r="D145" s="14" t="s">
        <v>28</v>
      </c>
      <c r="E145" s="14" t="s">
        <v>28</v>
      </c>
      <c r="F145" s="14" t="s">
        <v>28</v>
      </c>
      <c r="G145" s="15" t="n">
        <v>46054</v>
      </c>
      <c r="H145" s="14" t="s">
        <v>28</v>
      </c>
      <c r="I145" s="16" t="n">
        <f aca="true">IF(G145="","",G145-TODAY())</f>
        <v>-248</v>
      </c>
      <c r="J145" s="17" t="str">
        <f aca="true">IF(G145="","—",IF(G145&lt;TODAY(),"فات الموعد",IF(G145-TODAY()&lt;=14,"عاجل (≤14 يوم)","ساري")))</f>
        <v>فات الموعد</v>
      </c>
      <c r="K145" s="14" t="s">
        <v>18</v>
      </c>
      <c r="L145" s="17" t="s">
        <v>28</v>
      </c>
      <c r="M145" s="14" t="s">
        <v>567</v>
      </c>
      <c r="N145" s="14" t="s">
        <v>28</v>
      </c>
      <c r="O145" s="14" t="s">
        <v>37</v>
      </c>
    </row>
    <row r="146" customFormat="false" ht="15" hidden="false" customHeight="false" outlineLevel="0" collapsed="false">
      <c r="A146" s="9" t="n">
        <v>142</v>
      </c>
      <c r="B146" s="14" t="s">
        <v>565</v>
      </c>
      <c r="C146" s="14" t="s">
        <v>568</v>
      </c>
      <c r="D146" s="14" t="s">
        <v>569</v>
      </c>
      <c r="E146" s="14" t="s">
        <v>125</v>
      </c>
      <c r="F146" s="14" t="s">
        <v>116</v>
      </c>
      <c r="G146" s="15"/>
      <c r="H146" s="14" t="s">
        <v>28</v>
      </c>
      <c r="I146" s="16" t="str">
        <f aca="true">IF(G146="","",G146-TODAY())</f>
        <v/>
      </c>
      <c r="J146" s="17" t="str">
        <f aca="true">IF(G146="","—",IF(G146&lt;TODAY(),"فات الموعد",IF(G146-TODAY()&lt;=14,"عاجل (≤14 يوم)","ساري")))</f>
        <v>—</v>
      </c>
      <c r="K146" s="14" t="s">
        <v>16</v>
      </c>
      <c r="L146" s="17" t="s">
        <v>31</v>
      </c>
      <c r="M146" s="14" t="s">
        <v>570</v>
      </c>
      <c r="N146" s="14" t="s">
        <v>28</v>
      </c>
      <c r="O146" s="14" t="s">
        <v>37</v>
      </c>
    </row>
    <row r="147" customFormat="false" ht="15" hidden="false" customHeight="false" outlineLevel="0" collapsed="false">
      <c r="A147" s="9" t="n">
        <v>143</v>
      </c>
      <c r="B147" s="14" t="s">
        <v>571</v>
      </c>
      <c r="C147" s="14" t="s">
        <v>572</v>
      </c>
      <c r="D147" s="14" t="s">
        <v>573</v>
      </c>
      <c r="E147" s="14" t="s">
        <v>103</v>
      </c>
      <c r="F147" s="14" t="s">
        <v>116</v>
      </c>
      <c r="G147" s="15"/>
      <c r="H147" s="14" t="s">
        <v>574</v>
      </c>
      <c r="I147" s="16" t="str">
        <f aca="true">IF(G147="","",G147-TODAY())</f>
        <v/>
      </c>
      <c r="J147" s="17" t="str">
        <f aca="true">IF(G147="","—",IF(G147&lt;TODAY(),"فات الموعد",IF(G147-TODAY()&lt;=14,"عاجل (≤14 يوم)","ساري")))</f>
        <v>—</v>
      </c>
      <c r="K147" s="14" t="s">
        <v>14</v>
      </c>
      <c r="L147" s="17" t="s">
        <v>30</v>
      </c>
      <c r="M147" s="14" t="s">
        <v>575</v>
      </c>
      <c r="N147" s="14" t="s">
        <v>28</v>
      </c>
      <c r="O147" s="14" t="s">
        <v>36</v>
      </c>
    </row>
    <row r="148" customFormat="false" ht="23.85" hidden="false" customHeight="false" outlineLevel="0" collapsed="false">
      <c r="A148" s="9" t="n">
        <v>144</v>
      </c>
      <c r="B148" s="14" t="s">
        <v>571</v>
      </c>
      <c r="C148" s="14" t="s">
        <v>576</v>
      </c>
      <c r="D148" s="14" t="s">
        <v>577</v>
      </c>
      <c r="E148" s="14" t="s">
        <v>103</v>
      </c>
      <c r="F148" s="14" t="s">
        <v>28</v>
      </c>
      <c r="G148" s="15"/>
      <c r="H148" s="14" t="s">
        <v>28</v>
      </c>
      <c r="I148" s="16" t="str">
        <f aca="true">IF(G148="","",G148-TODAY())</f>
        <v/>
      </c>
      <c r="J148" s="17" t="str">
        <f aca="true">IF(G148="","—",IF(G148&lt;TODAY(),"فات الموعد",IF(G148-TODAY()&lt;=14,"عاجل (≤14 يوم)","ساري")))</f>
        <v>—</v>
      </c>
      <c r="K148" s="14" t="s">
        <v>14</v>
      </c>
      <c r="L148" s="17" t="s">
        <v>31</v>
      </c>
      <c r="M148" s="14" t="s">
        <v>578</v>
      </c>
      <c r="N148" s="14" t="s">
        <v>28</v>
      </c>
      <c r="O148" s="14" t="s">
        <v>37</v>
      </c>
    </row>
    <row r="149" customFormat="false" ht="15" hidden="false" customHeight="false" outlineLevel="0" collapsed="false">
      <c r="A149" s="9" t="n">
        <v>145</v>
      </c>
      <c r="B149" s="14" t="s">
        <v>579</v>
      </c>
      <c r="C149" s="14" t="s">
        <v>580</v>
      </c>
      <c r="D149" s="14" t="s">
        <v>581</v>
      </c>
      <c r="E149" s="14" t="s">
        <v>125</v>
      </c>
      <c r="F149" s="14" t="s">
        <v>582</v>
      </c>
      <c r="G149" s="15"/>
      <c r="H149" s="14" t="s">
        <v>583</v>
      </c>
      <c r="I149" s="16" t="str">
        <f aca="true">IF(G149="","",G149-TODAY())</f>
        <v/>
      </c>
      <c r="J149" s="17" t="str">
        <f aca="true">IF(G149="","—",IF(G149&lt;TODAY(),"فات الموعد",IF(G149-TODAY()&lt;=14,"عاجل (≤14 يوم)","ساري")))</f>
        <v>—</v>
      </c>
      <c r="K149" s="14" t="s">
        <v>14</v>
      </c>
      <c r="L149" s="17" t="s">
        <v>31</v>
      </c>
      <c r="M149" s="14" t="s">
        <v>28</v>
      </c>
      <c r="N149" s="14" t="s">
        <v>28</v>
      </c>
      <c r="O149" s="14" t="s">
        <v>36</v>
      </c>
    </row>
    <row r="150" customFormat="false" ht="15" hidden="false" customHeight="false" outlineLevel="0" collapsed="false">
      <c r="A150" s="9" t="n">
        <v>146</v>
      </c>
      <c r="B150" s="14" t="s">
        <v>584</v>
      </c>
      <c r="C150" s="14" t="s">
        <v>585</v>
      </c>
      <c r="D150" s="14" t="s">
        <v>28</v>
      </c>
      <c r="E150" s="14" t="s">
        <v>125</v>
      </c>
      <c r="F150" s="14" t="s">
        <v>116</v>
      </c>
      <c r="G150" s="15"/>
      <c r="H150" s="14" t="s">
        <v>586</v>
      </c>
      <c r="I150" s="16" t="str">
        <f aca="true">IF(G150="","",G150-TODAY())</f>
        <v/>
      </c>
      <c r="J150" s="17" t="str">
        <f aca="true">IF(G150="","—",IF(G150&lt;TODAY(),"فات الموعد",IF(G150-TODAY()&lt;=14,"عاجل (≤14 يوم)","ساري")))</f>
        <v>—</v>
      </c>
      <c r="K150" s="14" t="s">
        <v>14</v>
      </c>
      <c r="L150" s="17" t="s">
        <v>31</v>
      </c>
      <c r="M150" s="14" t="s">
        <v>28</v>
      </c>
      <c r="N150" s="14" t="s">
        <v>28</v>
      </c>
      <c r="O150" s="14" t="s">
        <v>36</v>
      </c>
    </row>
    <row r="151" customFormat="false" ht="23.85" hidden="false" customHeight="false" outlineLevel="0" collapsed="false">
      <c r="A151" s="9" t="n">
        <v>147</v>
      </c>
      <c r="B151" s="14" t="s">
        <v>587</v>
      </c>
      <c r="C151" s="14" t="s">
        <v>588</v>
      </c>
      <c r="D151" s="14" t="s">
        <v>589</v>
      </c>
      <c r="E151" s="14" t="s">
        <v>590</v>
      </c>
      <c r="F151" s="14" t="s">
        <v>591</v>
      </c>
      <c r="G151" s="15" t="n">
        <v>46390</v>
      </c>
      <c r="H151" s="14" t="s">
        <v>592</v>
      </c>
      <c r="I151" s="16" t="n">
        <f aca="true">IF(G151="","",G151-TODAY())</f>
        <v>88</v>
      </c>
      <c r="J151" s="17" t="str">
        <f aca="true">IF(G151="","—",IF(G151&lt;TODAY(),"فات الموعد",IF(G151-TODAY()&lt;=14,"عاجل (≤14 يوم)","ساري")))</f>
        <v>ساري</v>
      </c>
      <c r="K151" s="14" t="s">
        <v>12</v>
      </c>
      <c r="L151" s="17" t="s">
        <v>30</v>
      </c>
      <c r="M151" s="14" t="s">
        <v>593</v>
      </c>
      <c r="N151" s="14" t="s">
        <v>28</v>
      </c>
      <c r="O151" s="14" t="s">
        <v>37</v>
      </c>
    </row>
    <row r="152" customFormat="false" ht="15" hidden="false" customHeight="false" outlineLevel="0" collapsed="false">
      <c r="A152" s="9" t="n">
        <v>148</v>
      </c>
      <c r="B152" s="14" t="s">
        <v>594</v>
      </c>
      <c r="C152" s="14" t="s">
        <v>595</v>
      </c>
      <c r="D152" s="14" t="s">
        <v>596</v>
      </c>
      <c r="E152" s="14" t="s">
        <v>208</v>
      </c>
      <c r="F152" s="14" t="s">
        <v>116</v>
      </c>
      <c r="G152" s="15"/>
      <c r="H152" s="14" t="s">
        <v>28</v>
      </c>
      <c r="I152" s="16" t="str">
        <f aca="true">IF(G152="","",G152-TODAY())</f>
        <v/>
      </c>
      <c r="J152" s="17" t="str">
        <f aca="true">IF(G152="","—",IF(G152&lt;TODAY(),"فات الموعد",IF(G152-TODAY()&lt;=14,"عاجل (≤14 يوم)","ساري")))</f>
        <v>—</v>
      </c>
      <c r="K152" s="14" t="s">
        <v>12</v>
      </c>
      <c r="L152" s="17" t="s">
        <v>31</v>
      </c>
      <c r="M152" s="14" t="s">
        <v>28</v>
      </c>
      <c r="N152" s="14" t="s">
        <v>28</v>
      </c>
      <c r="O152" s="14" t="s">
        <v>37</v>
      </c>
    </row>
    <row r="153" customFormat="false" ht="15" hidden="false" customHeight="false" outlineLevel="0" collapsed="false">
      <c r="A153" s="9" t="n">
        <v>149</v>
      </c>
      <c r="B153" s="14" t="s">
        <v>594</v>
      </c>
      <c r="C153" s="14" t="s">
        <v>597</v>
      </c>
      <c r="D153" s="14" t="s">
        <v>28</v>
      </c>
      <c r="E153" s="14" t="s">
        <v>598</v>
      </c>
      <c r="F153" s="14" t="s">
        <v>28</v>
      </c>
      <c r="G153" s="15"/>
      <c r="H153" s="14" t="s">
        <v>28</v>
      </c>
      <c r="I153" s="16" t="str">
        <f aca="true">IF(G153="","",G153-TODAY())</f>
        <v/>
      </c>
      <c r="J153" s="17" t="str">
        <f aca="true">IF(G153="","—",IF(G153&lt;TODAY(),"فات الموعد",IF(G153-TODAY()&lt;=14,"عاجل (≤14 يوم)","ساري")))</f>
        <v>—</v>
      </c>
      <c r="K153" s="14" t="s">
        <v>20</v>
      </c>
      <c r="L153" s="17" t="s">
        <v>28</v>
      </c>
      <c r="M153" s="14" t="s">
        <v>599</v>
      </c>
      <c r="N153" s="14" t="s">
        <v>28</v>
      </c>
      <c r="O153" s="14" t="s">
        <v>36</v>
      </c>
    </row>
    <row r="154" customFormat="false" ht="23.85" hidden="false" customHeight="false" outlineLevel="0" collapsed="false">
      <c r="A154" s="9" t="n">
        <v>150</v>
      </c>
      <c r="B154" s="14" t="s">
        <v>600</v>
      </c>
      <c r="C154" s="14" t="s">
        <v>601</v>
      </c>
      <c r="D154" s="14" t="s">
        <v>28</v>
      </c>
      <c r="E154" s="14" t="s">
        <v>103</v>
      </c>
      <c r="F154" s="14" t="s">
        <v>602</v>
      </c>
      <c r="G154" s="15"/>
      <c r="H154" s="14" t="s">
        <v>28</v>
      </c>
      <c r="I154" s="16" t="str">
        <f aca="true">IF(G154="","",G154-TODAY())</f>
        <v/>
      </c>
      <c r="J154" s="17" t="str">
        <f aca="true">IF(G154="","—",IF(G154&lt;TODAY(),"فات الموعد",IF(G154-TODAY()&lt;=14,"عاجل (≤14 يوم)","ساري")))</f>
        <v>—</v>
      </c>
      <c r="K154" s="14" t="s">
        <v>20</v>
      </c>
      <c r="L154" s="17" t="s">
        <v>28</v>
      </c>
      <c r="M154" s="14" t="s">
        <v>603</v>
      </c>
      <c r="N154" s="14" t="s">
        <v>28</v>
      </c>
      <c r="O154" s="14" t="s">
        <v>34</v>
      </c>
    </row>
    <row r="155" customFormat="false" ht="15" hidden="false" customHeight="false" outlineLevel="0" collapsed="false">
      <c r="A155" s="9" t="n">
        <v>151</v>
      </c>
      <c r="B155" s="14" t="s">
        <v>600</v>
      </c>
      <c r="C155" s="14" t="s">
        <v>604</v>
      </c>
      <c r="D155" s="14" t="s">
        <v>28</v>
      </c>
      <c r="E155" s="14" t="s">
        <v>605</v>
      </c>
      <c r="F155" s="14" t="s">
        <v>28</v>
      </c>
      <c r="G155" s="15"/>
      <c r="H155" s="14" t="s">
        <v>28</v>
      </c>
      <c r="I155" s="16" t="str">
        <f aca="true">IF(G155="","",G155-TODAY())</f>
        <v/>
      </c>
      <c r="J155" s="17" t="str">
        <f aca="true">IF(G155="","—",IF(G155&lt;TODAY(),"فات الموعد",IF(G155-TODAY()&lt;=14,"عاجل (≤14 يوم)","ساري")))</f>
        <v>—</v>
      </c>
      <c r="K155" s="14" t="s">
        <v>16</v>
      </c>
      <c r="L155" s="17" t="s">
        <v>32</v>
      </c>
      <c r="M155" s="14" t="s">
        <v>28</v>
      </c>
      <c r="N155" s="14" t="s">
        <v>28</v>
      </c>
      <c r="O155" s="14" t="s">
        <v>37</v>
      </c>
    </row>
  </sheetData>
  <autoFilter ref="A4:O155"/>
  <conditionalFormatting sqref="K5:K400">
    <cfRule type="cellIs" priority="2" operator="equal" aboveAverage="0" equalAverage="0" bottom="0" percent="0" rank="0" text="" dxfId="13">
      <formula>"قُدِّم"</formula>
    </cfRule>
    <cfRule type="cellIs" priority="3" operator="equal" aboveAverage="0" equalAverage="0" bottom="0" percent="0" rank="0" text="" dxfId="14">
      <formula>"تم التواصل – بانتظار الرد"</formula>
    </cfRule>
    <cfRule type="cellIs" priority="4" operator="equal" aboveAverage="0" equalAverage="0" bottom="0" percent="0" rank="0" text="" dxfId="15">
      <formula>"جاهز / لم يُقدَّم"</formula>
    </cfRule>
    <cfRule type="cellIs" priority="5" operator="equal" aboveAverage="0" equalAverage="0" bottom="0" percent="0" rank="0" text="" dxfId="16">
      <formula>"مفتوح – لم يُتواصل بعد"</formula>
    </cfRule>
    <cfRule type="cellIs" priority="6" operator="equal" aboveAverage="0" equalAverage="0" bottom="0" percent="0" rank="0" text="" dxfId="17">
      <formula>"نافذة مستقبلية"</formula>
    </cfRule>
    <cfRule type="cellIs" priority="7" operator="equal" aboveAverage="0" equalAverage="0" bottom="0" percent="0" rank="0" text="" dxfId="18">
      <formula>"قيد التحقق"</formula>
    </cfRule>
    <cfRule type="cellIs" priority="8" operator="equal" aboveAverage="0" equalAverage="0" bottom="0" percent="0" rank="0" text="" dxfId="19">
      <formula>"مغلق / فات الموعد"</formula>
    </cfRule>
    <cfRule type="cellIs" priority="9" operator="equal" aboveAverage="0" equalAverage="0" bottom="0" percent="0" rank="0" text="" dxfId="20">
      <formula>"مستبعد (غير مؤهل/غير مناسب)"</formula>
    </cfRule>
    <cfRule type="cellIs" priority="10" operator="equal" aboveAverage="0" equalAverage="0" bottom="0" percent="0" rank="0" text="" dxfId="21">
      <formula>"رفض"</formula>
    </cfRule>
  </conditionalFormatting>
  <conditionalFormatting sqref="J5:J400">
    <cfRule type="cellIs" priority="11" operator="equal" aboveAverage="0" equalAverage="0" bottom="0" percent="0" rank="0" text="" dxfId="22">
      <formula>"عاجل (≤14 يوم)"</formula>
    </cfRule>
    <cfRule type="cellIs" priority="12" operator="equal" aboveAverage="0" equalAverage="0" bottom="0" percent="0" rank="0" text="" dxfId="19">
      <formula>"فات الموعد"</formula>
    </cfRule>
    <cfRule type="cellIs" priority="13" operator="equal" aboveAverage="0" equalAverage="0" bottom="0" percent="0" rank="0" text="" dxfId="13">
      <formula>"ساري"</formula>
    </cfRule>
  </conditionalFormatting>
  <conditionalFormatting sqref="L5:L400">
    <cfRule type="cellIs" priority="14" operator="equal" aboveAverage="0" equalAverage="0" bottom="0" percent="0" rank="0" text="" dxfId="23">
      <formula>"عالية"</formula>
    </cfRule>
  </conditionalFormatting>
  <dataValidations count="2">
    <dataValidation allowBlank="true" errorStyle="stop" operator="between" showDropDown="false" showErrorMessage="false" showInputMessage="false" sqref="K5:K400" type="list">
      <formula1>"قُدِّم,تم التواصل – بانتظار الرد,جاهز / لم يُقدَّم,مفتوح – لم يُتواصل بعد,نافذة مستقبلية,قيد التحقق,مغلق / فات الموعد,مستبعد (غير مؤهل/غير مناسب),رفض"</formula1>
      <formula2>0</formula2>
    </dataValidation>
    <dataValidation allowBlank="true" errorStyle="stop" operator="between" showDropDown="false" showErrorMessage="false" showInputMessage="false" sqref="L5:L400" type="list">
      <formula1>"عالية,متوسطة,منخفضة,—"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46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13" t="s">
        <v>606</v>
      </c>
      <c r="B1" s="13" t="s">
        <v>42</v>
      </c>
      <c r="C1" s="13" t="s">
        <v>607</v>
      </c>
      <c r="D1" s="13" t="s">
        <v>608</v>
      </c>
      <c r="E1" s="13" t="s">
        <v>609</v>
      </c>
    </row>
    <row r="2" customFormat="false" ht="15" hidden="false" customHeight="false" outlineLevel="0" collapsed="false">
      <c r="A2" s="15" t="n">
        <v>46234</v>
      </c>
      <c r="B2" s="14" t="s">
        <v>201</v>
      </c>
      <c r="C2" s="14" t="s">
        <v>610</v>
      </c>
      <c r="D2" s="14" t="s">
        <v>611</v>
      </c>
      <c r="E2" s="14" t="s">
        <v>612</v>
      </c>
    </row>
    <row r="3" customFormat="false" ht="15" hidden="false" customHeight="false" outlineLevel="0" collapsed="false">
      <c r="A3" s="15"/>
      <c r="B3" s="14" t="s">
        <v>201</v>
      </c>
      <c r="C3" s="14" t="s">
        <v>613</v>
      </c>
      <c r="D3" s="14" t="s">
        <v>614</v>
      </c>
      <c r="E3" s="14" t="s">
        <v>615</v>
      </c>
    </row>
    <row r="4" customFormat="false" ht="15" hidden="false" customHeight="false" outlineLevel="0" collapsed="false">
      <c r="A4" s="15" t="n">
        <v>46235</v>
      </c>
      <c r="B4" s="14" t="s">
        <v>112</v>
      </c>
      <c r="C4" s="14" t="s">
        <v>120</v>
      </c>
      <c r="D4" s="14" t="s">
        <v>616</v>
      </c>
      <c r="E4" s="14" t="s">
        <v>612</v>
      </c>
    </row>
    <row r="5" customFormat="false" ht="15" hidden="false" customHeight="false" outlineLevel="0" collapsed="false">
      <c r="A5" s="15" t="n">
        <v>46236</v>
      </c>
      <c r="B5" s="14" t="s">
        <v>138</v>
      </c>
      <c r="C5" s="14" t="s">
        <v>164</v>
      </c>
      <c r="D5" s="14" t="s">
        <v>616</v>
      </c>
      <c r="E5" s="14" t="s">
        <v>612</v>
      </c>
    </row>
    <row r="6" customFormat="false" ht="15" hidden="false" customHeight="false" outlineLevel="0" collapsed="false">
      <c r="A6" s="15" t="n">
        <v>46236</v>
      </c>
      <c r="B6" s="14" t="s">
        <v>617</v>
      </c>
      <c r="C6" s="14" t="s">
        <v>618</v>
      </c>
      <c r="D6" s="14" t="s">
        <v>619</v>
      </c>
      <c r="E6" s="14" t="s">
        <v>620</v>
      </c>
    </row>
    <row r="7" customFormat="false" ht="15" hidden="false" customHeight="false" outlineLevel="0" collapsed="false">
      <c r="A7" s="15" t="n">
        <v>46238</v>
      </c>
      <c r="B7" s="14" t="s">
        <v>53</v>
      </c>
      <c r="C7" s="14" t="s">
        <v>621</v>
      </c>
      <c r="D7" s="14" t="s">
        <v>622</v>
      </c>
      <c r="E7" s="14" t="s">
        <v>623</v>
      </c>
    </row>
    <row r="8" customFormat="false" ht="15" hidden="false" customHeight="false" outlineLevel="0" collapsed="false">
      <c r="A8" s="15" t="n">
        <v>46244</v>
      </c>
      <c r="B8" s="14" t="s">
        <v>128</v>
      </c>
      <c r="C8" s="14" t="s">
        <v>129</v>
      </c>
      <c r="D8" s="14" t="s">
        <v>624</v>
      </c>
      <c r="E8" s="14" t="s">
        <v>612</v>
      </c>
    </row>
    <row r="9" customFormat="false" ht="15" hidden="false" customHeight="false" outlineLevel="0" collapsed="false">
      <c r="A9" s="15" t="n">
        <v>46245</v>
      </c>
      <c r="B9" s="14" t="s">
        <v>245</v>
      </c>
      <c r="C9" s="14" t="s">
        <v>625</v>
      </c>
      <c r="D9" s="14" t="s">
        <v>624</v>
      </c>
      <c r="E9" s="14" t="s">
        <v>626</v>
      </c>
    </row>
    <row r="10" customFormat="false" ht="15" hidden="false" customHeight="false" outlineLevel="0" collapsed="false">
      <c r="A10" s="15" t="n">
        <v>46245</v>
      </c>
      <c r="B10" s="14" t="s">
        <v>138</v>
      </c>
      <c r="C10" s="14" t="s">
        <v>627</v>
      </c>
      <c r="D10" s="14" t="s">
        <v>628</v>
      </c>
      <c r="E10" s="14" t="s">
        <v>612</v>
      </c>
    </row>
    <row r="11" customFormat="false" ht="15" hidden="false" customHeight="false" outlineLevel="0" collapsed="false">
      <c r="A11" s="15" t="n">
        <v>46245</v>
      </c>
      <c r="B11" s="14" t="s">
        <v>369</v>
      </c>
      <c r="C11" s="14" t="s">
        <v>629</v>
      </c>
      <c r="D11" s="14" t="s">
        <v>616</v>
      </c>
      <c r="E11" s="14" t="s">
        <v>612</v>
      </c>
    </row>
    <row r="12" customFormat="false" ht="15" hidden="false" customHeight="false" outlineLevel="0" collapsed="false">
      <c r="A12" s="15" t="n">
        <v>46248</v>
      </c>
      <c r="B12" s="14" t="s">
        <v>112</v>
      </c>
      <c r="C12" s="14" t="s">
        <v>630</v>
      </c>
      <c r="D12" s="14" t="s">
        <v>631</v>
      </c>
      <c r="E12" s="14" t="s">
        <v>632</v>
      </c>
    </row>
    <row r="13" customFormat="false" ht="15" hidden="false" customHeight="false" outlineLevel="0" collapsed="false">
      <c r="A13" s="15" t="n">
        <v>46249</v>
      </c>
      <c r="B13" s="14" t="s">
        <v>525</v>
      </c>
      <c r="C13" s="14" t="s">
        <v>633</v>
      </c>
      <c r="D13" s="14" t="s">
        <v>634</v>
      </c>
      <c r="E13" s="14" t="s">
        <v>612</v>
      </c>
    </row>
    <row r="14" customFormat="false" ht="15" hidden="false" customHeight="false" outlineLevel="0" collapsed="false">
      <c r="A14" s="15" t="n">
        <v>46250</v>
      </c>
      <c r="B14" s="14" t="s">
        <v>417</v>
      </c>
      <c r="C14" s="14" t="s">
        <v>635</v>
      </c>
      <c r="D14" s="14" t="s">
        <v>636</v>
      </c>
      <c r="E14" s="14" t="s">
        <v>612</v>
      </c>
    </row>
    <row r="15" customFormat="false" ht="15" hidden="false" customHeight="false" outlineLevel="0" collapsed="false">
      <c r="A15" s="15" t="n">
        <v>46250</v>
      </c>
      <c r="B15" s="14" t="s">
        <v>417</v>
      </c>
      <c r="C15" s="14" t="s">
        <v>637</v>
      </c>
      <c r="D15" s="14" t="s">
        <v>387</v>
      </c>
      <c r="E15" s="14" t="s">
        <v>612</v>
      </c>
    </row>
    <row r="16" customFormat="false" ht="15" hidden="false" customHeight="false" outlineLevel="0" collapsed="false">
      <c r="A16" s="15" t="n">
        <v>46251</v>
      </c>
      <c r="B16" s="14" t="s">
        <v>417</v>
      </c>
      <c r="C16" s="14" t="s">
        <v>638</v>
      </c>
      <c r="D16" s="14" t="s">
        <v>639</v>
      </c>
      <c r="E16" s="14" t="s">
        <v>612</v>
      </c>
    </row>
    <row r="17" customFormat="false" ht="15" hidden="false" customHeight="false" outlineLevel="0" collapsed="false">
      <c r="A17" s="15" t="n">
        <v>46251</v>
      </c>
      <c r="B17" s="14" t="s">
        <v>417</v>
      </c>
      <c r="C17" s="14" t="s">
        <v>640</v>
      </c>
      <c r="D17" s="14" t="s">
        <v>641</v>
      </c>
      <c r="E17" s="14" t="s">
        <v>612</v>
      </c>
    </row>
    <row r="18" customFormat="false" ht="15" hidden="false" customHeight="false" outlineLevel="0" collapsed="false">
      <c r="A18" s="15" t="n">
        <v>46255</v>
      </c>
      <c r="B18" s="14" t="s">
        <v>112</v>
      </c>
      <c r="C18" s="14" t="s">
        <v>642</v>
      </c>
      <c r="D18" s="14" t="s">
        <v>643</v>
      </c>
      <c r="E18" s="14" t="s">
        <v>644</v>
      </c>
    </row>
    <row r="19" customFormat="false" ht="15" hidden="false" customHeight="false" outlineLevel="0" collapsed="false">
      <c r="A19" s="15" t="n">
        <v>46255</v>
      </c>
      <c r="B19" s="14" t="s">
        <v>53</v>
      </c>
      <c r="C19" s="14" t="s">
        <v>645</v>
      </c>
      <c r="D19" s="14" t="s">
        <v>646</v>
      </c>
      <c r="E19" s="14" t="s">
        <v>647</v>
      </c>
    </row>
    <row r="20" customFormat="false" ht="15" hidden="false" customHeight="false" outlineLevel="0" collapsed="false">
      <c r="A20" s="15"/>
      <c r="B20" s="14" t="s">
        <v>53</v>
      </c>
      <c r="C20" s="14" t="s">
        <v>648</v>
      </c>
      <c r="D20" s="14" t="s">
        <v>649</v>
      </c>
      <c r="E20" s="14" t="s">
        <v>650</v>
      </c>
    </row>
    <row r="21" customFormat="false" ht="15" hidden="false" customHeight="false" outlineLevel="0" collapsed="false">
      <c r="A21" s="15"/>
      <c r="B21" s="14" t="s">
        <v>53</v>
      </c>
      <c r="C21" s="14" t="s">
        <v>651</v>
      </c>
      <c r="D21" s="14" t="s">
        <v>652</v>
      </c>
      <c r="E21" s="14" t="s">
        <v>653</v>
      </c>
    </row>
    <row r="22" customFormat="false" ht="15" hidden="false" customHeight="false" outlineLevel="0" collapsed="false">
      <c r="A22" s="15"/>
      <c r="B22" s="14" t="s">
        <v>138</v>
      </c>
      <c r="C22" s="14" t="s">
        <v>654</v>
      </c>
      <c r="D22" s="14" t="s">
        <v>28</v>
      </c>
      <c r="E22" s="14" t="s">
        <v>655</v>
      </c>
    </row>
    <row r="23" customFormat="false" ht="23.85" hidden="false" customHeight="false" outlineLevel="0" collapsed="false">
      <c r="A23" s="15"/>
      <c r="B23" s="14" t="s">
        <v>656</v>
      </c>
      <c r="C23" s="14" t="s">
        <v>657</v>
      </c>
      <c r="D23" s="14" t="s">
        <v>658</v>
      </c>
      <c r="E23" s="14" t="s">
        <v>612</v>
      </c>
    </row>
  </sheetData>
  <autoFilter ref="A1:E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6"/>
    <col collapsed="false" customWidth="true" hidden="false" outlineLevel="0" max="5" min="5" style="0" width="70"/>
  </cols>
  <sheetData>
    <row r="1" customFormat="false" ht="15" hidden="false" customHeight="false" outlineLevel="0" collapsed="false">
      <c r="A1" s="13" t="s">
        <v>606</v>
      </c>
      <c r="B1" s="13" t="s">
        <v>49</v>
      </c>
      <c r="C1" s="13" t="s">
        <v>42</v>
      </c>
      <c r="D1" s="13" t="s">
        <v>659</v>
      </c>
      <c r="E1" s="13" t="s">
        <v>660</v>
      </c>
    </row>
    <row r="2" customFormat="false" ht="15" hidden="false" customHeight="false" outlineLevel="0" collapsed="false">
      <c r="A2" s="15" t="n">
        <v>46296</v>
      </c>
      <c r="B2" s="16" t="n">
        <f aca="true">A2-TODAY()</f>
        <v>-6</v>
      </c>
      <c r="C2" s="14" t="s">
        <v>112</v>
      </c>
      <c r="D2" s="14" t="s">
        <v>661</v>
      </c>
      <c r="E2" s="14" t="s">
        <v>662</v>
      </c>
    </row>
    <row r="3" customFormat="false" ht="15" hidden="false" customHeight="false" outlineLevel="0" collapsed="false">
      <c r="A3" s="15" t="n">
        <v>46326</v>
      </c>
      <c r="B3" s="16" t="n">
        <f aca="true">A3-TODAY()</f>
        <v>24</v>
      </c>
      <c r="C3" s="14" t="s">
        <v>417</v>
      </c>
      <c r="D3" s="14" t="s">
        <v>663</v>
      </c>
      <c r="E3" s="14" t="s">
        <v>664</v>
      </c>
    </row>
    <row r="4" customFormat="false" ht="15" hidden="false" customHeight="false" outlineLevel="0" collapsed="false">
      <c r="A4" s="15" t="n">
        <v>46357</v>
      </c>
      <c r="B4" s="16" t="n">
        <f aca="true">A4-TODAY()</f>
        <v>55</v>
      </c>
      <c r="C4" s="14" t="s">
        <v>543</v>
      </c>
      <c r="D4" s="14" t="s">
        <v>665</v>
      </c>
      <c r="E4" s="14" t="s">
        <v>47</v>
      </c>
    </row>
    <row r="5" customFormat="false" ht="15" hidden="false" customHeight="false" outlineLevel="0" collapsed="false">
      <c r="A5" s="15" t="n">
        <v>46371</v>
      </c>
      <c r="B5" s="16" t="n">
        <f aca="true">A5-TODAY()</f>
        <v>69</v>
      </c>
      <c r="C5" s="14" t="s">
        <v>571</v>
      </c>
      <c r="D5" s="14" t="s">
        <v>666</v>
      </c>
      <c r="E5" s="14" t="s">
        <v>667</v>
      </c>
    </row>
    <row r="6" customFormat="false" ht="15" hidden="false" customHeight="false" outlineLevel="0" collapsed="false">
      <c r="A6" s="15" t="n">
        <v>46387</v>
      </c>
      <c r="B6" s="16" t="n">
        <f aca="true">A6-TODAY()</f>
        <v>85</v>
      </c>
      <c r="C6" s="14" t="s">
        <v>555</v>
      </c>
      <c r="D6" s="14" t="s">
        <v>668</v>
      </c>
      <c r="E6" s="14" t="s">
        <v>669</v>
      </c>
    </row>
    <row r="7" customFormat="false" ht="15" hidden="false" customHeight="false" outlineLevel="0" collapsed="false">
      <c r="A7" s="15" t="n">
        <v>46390</v>
      </c>
      <c r="B7" s="16" t="n">
        <f aca="true">A7-TODAY()</f>
        <v>88</v>
      </c>
      <c r="C7" s="14" t="s">
        <v>587</v>
      </c>
      <c r="D7" s="14" t="s">
        <v>588</v>
      </c>
      <c r="E7" s="14" t="s">
        <v>670</v>
      </c>
    </row>
    <row r="8" customFormat="false" ht="15" hidden="false" customHeight="false" outlineLevel="0" collapsed="false">
      <c r="A8" s="15" t="n">
        <v>46402</v>
      </c>
      <c r="B8" s="16" t="n">
        <f aca="true">A8-TODAY()</f>
        <v>100</v>
      </c>
      <c r="C8" s="14" t="s">
        <v>584</v>
      </c>
      <c r="D8" s="14" t="s">
        <v>585</v>
      </c>
      <c r="E8" s="14" t="s">
        <v>671</v>
      </c>
    </row>
    <row r="9" customFormat="false" ht="15" hidden="false" customHeight="false" outlineLevel="0" collapsed="false">
      <c r="A9" s="15" t="n">
        <v>46433</v>
      </c>
      <c r="B9" s="16" t="n">
        <f aca="true">A9-TODAY()</f>
        <v>131</v>
      </c>
      <c r="C9" s="14" t="s">
        <v>378</v>
      </c>
      <c r="D9" s="14" t="s">
        <v>672</v>
      </c>
      <c r="E9" s="14" t="s">
        <v>673</v>
      </c>
    </row>
    <row r="10" customFormat="false" ht="15" hidden="false" customHeight="false" outlineLevel="0" collapsed="false">
      <c r="A10" s="15" t="n">
        <v>46433</v>
      </c>
      <c r="B10" s="16" t="n">
        <f aca="true">A10-TODAY()</f>
        <v>131</v>
      </c>
      <c r="C10" s="14" t="s">
        <v>525</v>
      </c>
      <c r="D10" s="14" t="s">
        <v>674</v>
      </c>
      <c r="E10" s="14" t="s">
        <v>542</v>
      </c>
    </row>
    <row r="11" customFormat="false" ht="15" hidden="false" customHeight="false" outlineLevel="0" collapsed="false">
      <c r="A11" s="15" t="n">
        <v>46492</v>
      </c>
      <c r="B11" s="16" t="n">
        <f aca="true">A11-TODAY()</f>
        <v>190</v>
      </c>
      <c r="C11" s="14" t="s">
        <v>579</v>
      </c>
      <c r="D11" s="14" t="s">
        <v>580</v>
      </c>
      <c r="E11" s="14" t="s">
        <v>583</v>
      </c>
    </row>
    <row r="13" customFormat="false" ht="15" hidden="false" customHeight="false" outlineLevel="0" collapsed="false">
      <c r="A13" s="18" t="s">
        <v>675</v>
      </c>
    </row>
  </sheetData>
  <conditionalFormatting sqref="B2:B11">
    <cfRule type="cellIs" priority="2" operator="lessThan" aboveAverage="0" equalAverage="0" bottom="0" percent="0" rank="0" text="" dxfId="19">
      <formula>0</formula>
    </cfRule>
    <cfRule type="cellIs" priority="3" operator="between" aboveAverage="0" equalAverage="0" bottom="0" percent="0" rank="0" text="" dxfId="22">
      <formula>0</formula>
      <formula>14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8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3" t="s">
        <v>41</v>
      </c>
      <c r="B1" s="13" t="s">
        <v>676</v>
      </c>
      <c r="C1" s="13" t="s">
        <v>677</v>
      </c>
      <c r="D1" s="13" t="s">
        <v>660</v>
      </c>
    </row>
    <row r="2" customFormat="false" ht="23.85" hidden="false" customHeight="false" outlineLevel="0" collapsed="false">
      <c r="A2" s="9" t="n">
        <v>1</v>
      </c>
      <c r="B2" s="14" t="s">
        <v>678</v>
      </c>
      <c r="C2" s="14" t="s">
        <v>679</v>
      </c>
      <c r="D2" s="14" t="s">
        <v>680</v>
      </c>
    </row>
    <row r="3" customFormat="false" ht="15" hidden="false" customHeight="false" outlineLevel="0" collapsed="false">
      <c r="A3" s="9" t="n">
        <v>2</v>
      </c>
      <c r="B3" s="14" t="s">
        <v>681</v>
      </c>
      <c r="C3" s="14" t="s">
        <v>682</v>
      </c>
      <c r="D3" s="14" t="s">
        <v>683</v>
      </c>
    </row>
    <row r="4" customFormat="false" ht="15" hidden="false" customHeight="false" outlineLevel="0" collapsed="false">
      <c r="A4" s="9" t="n">
        <v>3</v>
      </c>
      <c r="B4" s="14" t="s">
        <v>684</v>
      </c>
      <c r="C4" s="14" t="s">
        <v>685</v>
      </c>
      <c r="D4" s="14" t="s">
        <v>686</v>
      </c>
    </row>
    <row r="5" customFormat="false" ht="15" hidden="false" customHeight="false" outlineLevel="0" collapsed="false">
      <c r="A5" s="9" t="n">
        <v>4</v>
      </c>
      <c r="B5" s="14" t="s">
        <v>687</v>
      </c>
      <c r="C5" s="14" t="s">
        <v>688</v>
      </c>
      <c r="D5" s="14" t="s">
        <v>689</v>
      </c>
    </row>
    <row r="6" customFormat="false" ht="15" hidden="false" customHeight="false" outlineLevel="0" collapsed="false">
      <c r="A6" s="9" t="n">
        <v>5</v>
      </c>
      <c r="B6" s="14" t="s">
        <v>690</v>
      </c>
      <c r="C6" s="14" t="s">
        <v>691</v>
      </c>
      <c r="D6" s="14" t="s">
        <v>692</v>
      </c>
    </row>
    <row r="7" customFormat="false" ht="15" hidden="false" customHeight="false" outlineLevel="0" collapsed="false">
      <c r="A7" s="9" t="n">
        <v>6</v>
      </c>
      <c r="B7" s="14" t="s">
        <v>693</v>
      </c>
      <c r="C7" s="14" t="s">
        <v>694</v>
      </c>
      <c r="D7" s="14" t="s">
        <v>695</v>
      </c>
    </row>
    <row r="8" customFormat="false" ht="15" hidden="false" customHeight="false" outlineLevel="0" collapsed="false">
      <c r="A8" s="9" t="n">
        <v>7</v>
      </c>
      <c r="B8" s="14" t="s">
        <v>696</v>
      </c>
      <c r="C8" s="14" t="s">
        <v>697</v>
      </c>
      <c r="D8" s="14" t="s">
        <v>698</v>
      </c>
    </row>
    <row r="9" customFormat="false" ht="15" hidden="false" customHeight="false" outlineLevel="0" collapsed="false">
      <c r="A9" s="9" t="n">
        <v>8</v>
      </c>
      <c r="B9" s="14" t="s">
        <v>699</v>
      </c>
      <c r="C9" s="14" t="s">
        <v>700</v>
      </c>
      <c r="D9" s="14" t="s">
        <v>701</v>
      </c>
    </row>
    <row r="10" customFormat="false" ht="15" hidden="false" customHeight="false" outlineLevel="0" collapsed="false">
      <c r="A10" s="9" t="n">
        <v>9</v>
      </c>
      <c r="B10" s="14" t="s">
        <v>702</v>
      </c>
      <c r="C10" s="14" t="s">
        <v>703</v>
      </c>
      <c r="D10" s="14" t="s">
        <v>704</v>
      </c>
    </row>
    <row r="11" customFormat="false" ht="23.85" hidden="false" customHeight="false" outlineLevel="0" collapsed="false">
      <c r="A11" s="9" t="n">
        <v>10</v>
      </c>
      <c r="B11" s="14" t="s">
        <v>705</v>
      </c>
      <c r="C11" s="14" t="s">
        <v>706</v>
      </c>
      <c r="D11" s="14" t="s">
        <v>707</v>
      </c>
    </row>
    <row r="12" customFormat="false" ht="15" hidden="false" customHeight="false" outlineLevel="0" collapsed="false">
      <c r="A12" s="9" t="n">
        <v>11</v>
      </c>
      <c r="B12" s="14" t="s">
        <v>708</v>
      </c>
      <c r="C12" s="14" t="s">
        <v>709</v>
      </c>
      <c r="D12" s="14" t="s">
        <v>710</v>
      </c>
    </row>
    <row r="13" customFormat="false" ht="15" hidden="false" customHeight="false" outlineLevel="0" collapsed="false">
      <c r="A13" s="9" t="n">
        <v>12</v>
      </c>
      <c r="B13" s="14" t="s">
        <v>711</v>
      </c>
      <c r="C13" s="14" t="s">
        <v>712</v>
      </c>
      <c r="D13" s="14" t="s">
        <v>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3" t="s">
        <v>714</v>
      </c>
      <c r="B1" s="13" t="s">
        <v>715</v>
      </c>
      <c r="C1" s="13" t="s">
        <v>716</v>
      </c>
      <c r="D1" s="13" t="s">
        <v>717</v>
      </c>
    </row>
    <row r="2" customFormat="false" ht="15" hidden="false" customHeight="false" outlineLevel="0" collapsed="false">
      <c r="A2" s="14" t="s">
        <v>53</v>
      </c>
      <c r="B2" s="9" t="n">
        <f aca="false">COUNTIF('كل الفرص'!$B$5:$B$400,A2)</f>
        <v>13</v>
      </c>
      <c r="C2" s="9" t="n">
        <f aca="false">COUNTIFS('كل الفرص'!$B$5:$B$400,A2,'كل الفرص'!$K$5:$K$400,"قُدِّم")+COUNTIFS('كل الفرص'!$B$5:$B$400,A2,'كل الفرص'!$K$5:$K$400,"تم التواصل – بانتظار الرد")</f>
        <v>3</v>
      </c>
      <c r="D2" s="14"/>
    </row>
    <row r="3" customFormat="false" ht="15" hidden="false" customHeight="false" outlineLevel="0" collapsed="false">
      <c r="A3" s="14" t="s">
        <v>112</v>
      </c>
      <c r="B3" s="9" t="n">
        <f aca="false">COUNTIF('كل الفرص'!$B$5:$B$400,A3)</f>
        <v>3</v>
      </c>
      <c r="C3" s="9" t="n">
        <f aca="false">COUNTIFS('كل الفرص'!$B$5:$B$400,A3,'كل الفرص'!$K$5:$K$400,"قُدِّم")+COUNTIFS('كل الفرص'!$B$5:$B$400,A3,'كل الفرص'!$K$5:$K$400,"تم التواصل – بانتظار الرد")</f>
        <v>2</v>
      </c>
      <c r="D3" s="14"/>
    </row>
    <row r="4" customFormat="false" ht="15" hidden="false" customHeight="false" outlineLevel="0" collapsed="false">
      <c r="A4" s="14" t="s">
        <v>128</v>
      </c>
      <c r="B4" s="9" t="n">
        <f aca="false">COUNTIF('كل الفرص'!$B$5:$B$400,A4)</f>
        <v>2</v>
      </c>
      <c r="C4" s="9" t="n">
        <f aca="false">COUNTIFS('كل الفرص'!$B$5:$B$400,A4,'كل الفرص'!$K$5:$K$400,"قُدِّم")+COUNTIFS('كل الفرص'!$B$5:$B$400,A4,'كل الفرص'!$K$5:$K$400,"تم التواصل – بانتظار الرد")</f>
        <v>1</v>
      </c>
      <c r="D4" s="14"/>
    </row>
    <row r="5" customFormat="false" ht="15" hidden="false" customHeight="false" outlineLevel="0" collapsed="false">
      <c r="A5" s="14" t="s">
        <v>138</v>
      </c>
      <c r="B5" s="9" t="n">
        <f aca="false">COUNTIF('كل الفرص'!$B$5:$B$400,A5)</f>
        <v>16</v>
      </c>
      <c r="C5" s="9" t="n">
        <f aca="false">COUNTIFS('كل الفرص'!$B$5:$B$400,A5,'كل الفرص'!$K$5:$K$400,"قُدِّم")+COUNTIFS('كل الفرص'!$B$5:$B$400,A5,'كل الفرص'!$K$5:$K$400,"تم التواصل – بانتظار الرد")</f>
        <v>6</v>
      </c>
      <c r="D5" s="14"/>
    </row>
    <row r="6" customFormat="false" ht="15" hidden="false" customHeight="false" outlineLevel="0" collapsed="false">
      <c r="A6" s="14" t="s">
        <v>193</v>
      </c>
      <c r="B6" s="9" t="n">
        <f aca="false">COUNTIF('كل الفرص'!$B$5:$B$400,A6)</f>
        <v>2</v>
      </c>
      <c r="C6" s="9" t="n">
        <f aca="false">COUNTIFS('كل الفرص'!$B$5:$B$400,A6,'كل الفرص'!$K$5:$K$400,"قُدِّم")+COUNTIFS('كل الفرص'!$B$5:$B$400,A6,'كل الفرص'!$K$5:$K$400,"تم التواصل – بانتظار الرد")</f>
        <v>0</v>
      </c>
      <c r="D6" s="14"/>
    </row>
    <row r="7" customFormat="false" ht="15" hidden="false" customHeight="false" outlineLevel="0" collapsed="false">
      <c r="A7" s="14" t="s">
        <v>201</v>
      </c>
      <c r="B7" s="9" t="n">
        <f aca="false">COUNTIF('كل الفرص'!$B$5:$B$400,A7)</f>
        <v>4</v>
      </c>
      <c r="C7" s="9" t="n">
        <f aca="false">COUNTIFS('كل الفرص'!$B$5:$B$400,A7,'كل الفرص'!$K$5:$K$400,"قُدِّم")+COUNTIFS('كل الفرص'!$B$5:$B$400,A7,'كل الفرص'!$K$5:$K$400,"تم التواصل – بانتظار الرد")</f>
        <v>2</v>
      </c>
      <c r="D7" s="14"/>
    </row>
    <row r="8" customFormat="false" ht="15" hidden="false" customHeight="false" outlineLevel="0" collapsed="false">
      <c r="A8" s="14" t="s">
        <v>219</v>
      </c>
      <c r="B8" s="9" t="n">
        <f aca="false">COUNTIF('كل الفرص'!$B$5:$B$400,A8)</f>
        <v>7</v>
      </c>
      <c r="C8" s="9" t="n">
        <f aca="false">COUNTIFS('كل الفرص'!$B$5:$B$400,A8,'كل الفرص'!$K$5:$K$400,"قُدِّم")+COUNTIFS('كل الفرص'!$B$5:$B$400,A8,'كل الفرص'!$K$5:$K$400,"تم التواصل – بانتظار الرد")</f>
        <v>0</v>
      </c>
      <c r="D8" s="14"/>
    </row>
    <row r="9" customFormat="false" ht="15" hidden="false" customHeight="false" outlineLevel="0" collapsed="false">
      <c r="A9" s="14" t="s">
        <v>245</v>
      </c>
      <c r="B9" s="9" t="n">
        <f aca="false">COUNTIF('كل الفرص'!$B$5:$B$400,A9)</f>
        <v>7</v>
      </c>
      <c r="C9" s="9" t="n">
        <f aca="false">COUNTIFS('كل الفرص'!$B$5:$B$400,A9,'كل الفرص'!$K$5:$K$400,"قُدِّم")+COUNTIFS('كل الفرص'!$B$5:$B$400,A9,'كل الفرص'!$K$5:$K$400,"تم التواصل – بانتظار الرد")</f>
        <v>1</v>
      </c>
      <c r="D9" s="14"/>
    </row>
    <row r="10" customFormat="false" ht="15" hidden="false" customHeight="false" outlineLevel="0" collapsed="false">
      <c r="A10" s="14" t="s">
        <v>272</v>
      </c>
      <c r="B10" s="9" t="n">
        <f aca="false">COUNTIF('كل الفرص'!$B$5:$B$400,A10)</f>
        <v>3</v>
      </c>
      <c r="C10" s="9" t="n">
        <f aca="false">COUNTIFS('كل الفرص'!$B$5:$B$400,A10,'كل الفرص'!$K$5:$K$400,"قُدِّم")+COUNTIFS('كل الفرص'!$B$5:$B$400,A10,'كل الفرص'!$K$5:$K$400,"تم التواصل – بانتظار الرد")</f>
        <v>0</v>
      </c>
      <c r="D10" s="14"/>
    </row>
    <row r="11" customFormat="false" ht="15" hidden="false" customHeight="false" outlineLevel="0" collapsed="false">
      <c r="A11" s="14" t="s">
        <v>285</v>
      </c>
      <c r="B11" s="9" t="n">
        <f aca="false">COUNTIF('كل الفرص'!$B$5:$B$400,A11)</f>
        <v>5</v>
      </c>
      <c r="C11" s="9" t="n">
        <f aca="false">COUNTIFS('كل الفرص'!$B$5:$B$400,A11,'كل الفرص'!$K$5:$K$400,"قُدِّم")+COUNTIFS('كل الفرص'!$B$5:$B$400,A11,'كل الفرص'!$K$5:$K$400,"تم التواصل – بانتظار الرد")</f>
        <v>0</v>
      </c>
      <c r="D11" s="14"/>
    </row>
    <row r="12" customFormat="false" ht="15" hidden="false" customHeight="false" outlineLevel="0" collapsed="false">
      <c r="A12" s="14" t="s">
        <v>306</v>
      </c>
      <c r="B12" s="9" t="n">
        <f aca="false">COUNTIF('كل الفرص'!$B$5:$B$400,A12)</f>
        <v>2</v>
      </c>
      <c r="C12" s="9" t="n">
        <f aca="false">COUNTIFS('كل الفرص'!$B$5:$B$400,A12,'كل الفرص'!$K$5:$K$400,"قُدِّم")+COUNTIFS('كل الفرص'!$B$5:$B$400,A12,'كل الفرص'!$K$5:$K$400,"تم التواصل – بانتظار الرد")</f>
        <v>0</v>
      </c>
      <c r="D12" s="14"/>
    </row>
    <row r="13" customFormat="false" ht="15" hidden="false" customHeight="false" outlineLevel="0" collapsed="false">
      <c r="A13" s="14" t="s">
        <v>312</v>
      </c>
      <c r="B13" s="9" t="n">
        <f aca="false">COUNTIF('كل الفرص'!$B$5:$B$400,A13)</f>
        <v>9</v>
      </c>
      <c r="C13" s="9" t="n">
        <f aca="false">COUNTIFS('كل الفرص'!$B$5:$B$400,A13,'كل الفرص'!$K$5:$K$400,"قُدِّم")+COUNTIFS('كل الفرص'!$B$5:$B$400,A13,'كل الفرص'!$K$5:$K$400,"تم التواصل – بانتظار الرد")</f>
        <v>1</v>
      </c>
      <c r="D13" s="14"/>
    </row>
    <row r="14" customFormat="false" ht="15" hidden="false" customHeight="false" outlineLevel="0" collapsed="false">
      <c r="A14" s="14" t="s">
        <v>338</v>
      </c>
      <c r="B14" s="9" t="n">
        <f aca="false">COUNTIF('كل الفرص'!$B$5:$B$400,A14)</f>
        <v>2</v>
      </c>
      <c r="C14" s="9" t="n">
        <f aca="false">COUNTIFS('كل الفرص'!$B$5:$B$400,A14,'كل الفرص'!$K$5:$K$400,"قُدِّم")+COUNTIFS('كل الفرص'!$B$5:$B$400,A14,'كل الفرص'!$K$5:$K$400,"تم التواصل – بانتظار الرد")</f>
        <v>0</v>
      </c>
      <c r="D14" s="14"/>
    </row>
    <row r="15" customFormat="false" ht="15" hidden="false" customHeight="false" outlineLevel="0" collapsed="false">
      <c r="A15" s="14" t="s">
        <v>343</v>
      </c>
      <c r="B15" s="9" t="n">
        <f aca="false">COUNTIF('كل الفرص'!$B$5:$B$400,A15)</f>
        <v>8</v>
      </c>
      <c r="C15" s="9" t="n">
        <f aca="false">COUNTIFS('كل الفرص'!$B$5:$B$400,A15,'كل الفرص'!$K$5:$K$400,"قُدِّم")+COUNTIFS('كل الفرص'!$B$5:$B$400,A15,'كل الفرص'!$K$5:$K$400,"تم التواصل – بانتظار الرد")</f>
        <v>1</v>
      </c>
      <c r="D15" s="14"/>
    </row>
    <row r="16" customFormat="false" ht="15" hidden="false" customHeight="false" outlineLevel="0" collapsed="false">
      <c r="A16" s="14" t="s">
        <v>369</v>
      </c>
      <c r="B16" s="9" t="n">
        <f aca="false">COUNTIF('كل الفرص'!$B$5:$B$400,A16)</f>
        <v>1</v>
      </c>
      <c r="C16" s="9" t="n">
        <f aca="false">COUNTIFS('كل الفرص'!$B$5:$B$400,A16,'كل الفرص'!$K$5:$K$400,"قُدِّم")+COUNTIFS('كل الفرص'!$B$5:$B$400,A16,'كل الفرص'!$K$5:$K$400,"تم التواصل – بانتظار الرد")</f>
        <v>1</v>
      </c>
      <c r="D16" s="14"/>
    </row>
    <row r="17" customFormat="false" ht="15" hidden="false" customHeight="false" outlineLevel="0" collapsed="false">
      <c r="A17" s="14" t="s">
        <v>374</v>
      </c>
      <c r="B17" s="9" t="n">
        <f aca="false">COUNTIF('كل الفرص'!$B$5:$B$400,A17)</f>
        <v>1</v>
      </c>
      <c r="C17" s="9" t="n">
        <f aca="false">COUNTIFS('كل الفرص'!$B$5:$B$400,A17,'كل الفرص'!$K$5:$K$400,"قُدِّم")+COUNTIFS('كل الفرص'!$B$5:$B$400,A17,'كل الفرص'!$K$5:$K$400,"تم التواصل – بانتظار الرد")</f>
        <v>1</v>
      </c>
      <c r="D17" s="14"/>
    </row>
    <row r="18" customFormat="false" ht="15" hidden="false" customHeight="false" outlineLevel="0" collapsed="false">
      <c r="A18" s="14" t="s">
        <v>378</v>
      </c>
      <c r="B18" s="9" t="n">
        <f aca="false">COUNTIF('كل الفرص'!$B$5:$B$400,A18)</f>
        <v>1</v>
      </c>
      <c r="C18" s="9" t="n">
        <f aca="false">COUNTIFS('كل الفرص'!$B$5:$B$400,A18,'كل الفرص'!$K$5:$K$400,"قُدِّم")+COUNTIFS('كل الفرص'!$B$5:$B$400,A18,'كل الفرص'!$K$5:$K$400,"تم التواصل – بانتظار الرد")</f>
        <v>0</v>
      </c>
      <c r="D18" s="14"/>
    </row>
    <row r="19" customFormat="false" ht="15" hidden="false" customHeight="false" outlineLevel="0" collapsed="false">
      <c r="A19" s="14" t="s">
        <v>383</v>
      </c>
      <c r="B19" s="9" t="n">
        <f aca="false">COUNTIF('كل الفرص'!$B$5:$B$400,A19)</f>
        <v>1</v>
      </c>
      <c r="C19" s="9" t="n">
        <f aca="false">COUNTIFS('كل الفرص'!$B$5:$B$400,A19,'كل الفرص'!$K$5:$K$400,"قُدِّم")+COUNTIFS('كل الفرص'!$B$5:$B$400,A19,'كل الفرص'!$K$5:$K$400,"تم التواصل – بانتظار الرد")</f>
        <v>0</v>
      </c>
      <c r="D19" s="14"/>
    </row>
    <row r="20" customFormat="false" ht="15" hidden="false" customHeight="false" outlineLevel="0" collapsed="false">
      <c r="A20" s="14" t="s">
        <v>390</v>
      </c>
      <c r="B20" s="9" t="n">
        <f aca="false">COUNTIF('كل الفرص'!$B$5:$B$400,A20)</f>
        <v>1</v>
      </c>
      <c r="C20" s="9" t="n">
        <f aca="false">COUNTIFS('كل الفرص'!$B$5:$B$400,A20,'كل الفرص'!$K$5:$K$400,"قُدِّم")+COUNTIFS('كل الفرص'!$B$5:$B$400,A20,'كل الفرص'!$K$5:$K$400,"تم التواصل – بانتظار الرد")</f>
        <v>0</v>
      </c>
      <c r="D20" s="14"/>
    </row>
    <row r="21" customFormat="false" ht="15" hidden="false" customHeight="false" outlineLevel="0" collapsed="false">
      <c r="A21" s="14" t="s">
        <v>394</v>
      </c>
      <c r="B21" s="9" t="n">
        <f aca="false">COUNTIF('كل الفرص'!$B$5:$B$400,A21)</f>
        <v>6</v>
      </c>
      <c r="C21" s="9" t="n">
        <f aca="false">COUNTIFS('كل الفرص'!$B$5:$B$400,A21,'كل الفرص'!$K$5:$K$400,"قُدِّم")+COUNTIFS('كل الفرص'!$B$5:$B$400,A21,'كل الفرص'!$K$5:$K$400,"تم التواصل – بانتظار الرد")</f>
        <v>0</v>
      </c>
      <c r="D21" s="14" t="s">
        <v>718</v>
      </c>
    </row>
    <row r="22" customFormat="false" ht="15" hidden="false" customHeight="false" outlineLevel="0" collapsed="false">
      <c r="A22" s="14" t="s">
        <v>417</v>
      </c>
      <c r="B22" s="9" t="n">
        <f aca="false">COUNTIF('كل الفرص'!$B$5:$B$400,A22)</f>
        <v>29</v>
      </c>
      <c r="C22" s="9" t="n">
        <f aca="false">COUNTIFS('كل الفرص'!$B$5:$B$400,A22,'كل الفرص'!$K$5:$K$400,"قُدِّم")+COUNTIFS('كل الفرص'!$B$5:$B$400,A22,'كل الفرص'!$K$5:$K$400,"تم التواصل – بانتظار الرد")</f>
        <v>7</v>
      </c>
      <c r="D22" s="14" t="s">
        <v>719</v>
      </c>
    </row>
    <row r="23" customFormat="false" ht="15" hidden="false" customHeight="false" outlineLevel="0" collapsed="false">
      <c r="A23" s="14" t="s">
        <v>511</v>
      </c>
      <c r="B23" s="9" t="n">
        <f aca="false">COUNTIF('كل الفرص'!$B$5:$B$400,A23)</f>
        <v>5</v>
      </c>
      <c r="C23" s="9" t="n">
        <f aca="false">COUNTIFS('كل الفرص'!$B$5:$B$400,A23,'كل الفرص'!$K$5:$K$400,"قُدِّم")+COUNTIFS('كل الفرص'!$B$5:$B$400,A23,'كل الفرص'!$K$5:$K$400,"تم التواصل – بانتظار الرد")</f>
        <v>2</v>
      </c>
      <c r="D23" s="14"/>
    </row>
    <row r="24" customFormat="false" ht="15" hidden="false" customHeight="false" outlineLevel="0" collapsed="false">
      <c r="A24" s="14" t="s">
        <v>525</v>
      </c>
      <c r="B24" s="9" t="n">
        <f aca="false">COUNTIF('كل الفرص'!$B$5:$B$400,A24)</f>
        <v>6</v>
      </c>
      <c r="C24" s="9" t="n">
        <f aca="false">COUNTIFS('كل الفرص'!$B$5:$B$400,A24,'كل الفرص'!$K$5:$K$400,"قُدِّم")+COUNTIFS('كل الفرص'!$B$5:$B$400,A24,'كل الفرص'!$K$5:$K$400,"تم التواصل – بانتظار الرد")</f>
        <v>1</v>
      </c>
      <c r="D24" s="14"/>
    </row>
    <row r="25" customFormat="false" ht="15" hidden="false" customHeight="false" outlineLevel="0" collapsed="false">
      <c r="A25" s="14" t="s">
        <v>543</v>
      </c>
      <c r="B25" s="9" t="n">
        <f aca="false">COUNTIF('كل الفرص'!$B$5:$B$400,A25)</f>
        <v>3</v>
      </c>
      <c r="C25" s="9" t="n">
        <f aca="false">COUNTIFS('كل الفرص'!$B$5:$B$400,A25,'كل الفرص'!$K$5:$K$400,"قُدِّم")+COUNTIFS('كل الفرص'!$B$5:$B$400,A25,'كل الفرص'!$K$5:$K$400,"تم التواصل – بانتظار الرد")</f>
        <v>0</v>
      </c>
      <c r="D25" s="14"/>
    </row>
    <row r="26" customFormat="false" ht="15" hidden="false" customHeight="false" outlineLevel="0" collapsed="false">
      <c r="A26" s="14" t="s">
        <v>555</v>
      </c>
      <c r="B26" s="9" t="n">
        <f aca="false">COUNTIF('كل الفرص'!$B$5:$B$400,A26)</f>
        <v>3</v>
      </c>
      <c r="C26" s="9" t="n">
        <f aca="false">COUNTIFS('كل الفرص'!$B$5:$B$400,A26,'كل الفرص'!$K$5:$K$400,"قُدِّم")+COUNTIFS('كل الفرص'!$B$5:$B$400,A26,'كل الفرص'!$K$5:$K$400,"تم التواصل – بانتظار الرد")</f>
        <v>0</v>
      </c>
      <c r="D26" s="14"/>
    </row>
    <row r="27" customFormat="false" ht="15" hidden="false" customHeight="false" outlineLevel="0" collapsed="false">
      <c r="A27" s="14" t="s">
        <v>565</v>
      </c>
      <c r="B27" s="9" t="n">
        <f aca="false">COUNTIF('كل الفرص'!$B$5:$B$400,A27)</f>
        <v>2</v>
      </c>
      <c r="C27" s="9" t="n">
        <f aca="false">COUNTIFS('كل الفرص'!$B$5:$B$400,A27,'كل الفرص'!$K$5:$K$400,"قُدِّم")+COUNTIFS('كل الفرص'!$B$5:$B$400,A27,'كل الفرص'!$K$5:$K$400,"تم التواصل – بانتظار الرد")</f>
        <v>0</v>
      </c>
      <c r="D27" s="14"/>
    </row>
    <row r="28" customFormat="false" ht="15" hidden="false" customHeight="false" outlineLevel="0" collapsed="false">
      <c r="A28" s="14" t="s">
        <v>571</v>
      </c>
      <c r="B28" s="9" t="n">
        <f aca="false">COUNTIF('كل الفرص'!$B$5:$B$400,A28)</f>
        <v>2</v>
      </c>
      <c r="C28" s="9" t="n">
        <f aca="false">COUNTIFS('كل الفرص'!$B$5:$B$400,A28,'كل الفرص'!$K$5:$K$400,"قُدِّم")+COUNTIFS('كل الفرص'!$B$5:$B$400,A28,'كل الفرص'!$K$5:$K$400,"تم التواصل – بانتظار الرد")</f>
        <v>0</v>
      </c>
      <c r="D28" s="14"/>
    </row>
    <row r="29" customFormat="false" ht="15" hidden="false" customHeight="false" outlineLevel="0" collapsed="false">
      <c r="A29" s="14" t="s">
        <v>579</v>
      </c>
      <c r="B29" s="9" t="n">
        <f aca="false">COUNTIF('كل الفرص'!$B$5:$B$400,A29)</f>
        <v>1</v>
      </c>
      <c r="C29" s="9" t="n">
        <f aca="false">COUNTIFS('كل الفرص'!$B$5:$B$400,A29,'كل الفرص'!$K$5:$K$400,"قُدِّم")+COUNTIFS('كل الفرص'!$B$5:$B$400,A29,'كل الفرص'!$K$5:$K$400,"تم التواصل – بانتظار الرد")</f>
        <v>0</v>
      </c>
      <c r="D29" s="14"/>
    </row>
    <row r="30" customFormat="false" ht="15" hidden="false" customHeight="false" outlineLevel="0" collapsed="false">
      <c r="A30" s="14" t="s">
        <v>584</v>
      </c>
      <c r="B30" s="9" t="n">
        <f aca="false">COUNTIF('كل الفرص'!$B$5:$B$400,A30)</f>
        <v>1</v>
      </c>
      <c r="C30" s="9" t="n">
        <f aca="false">COUNTIFS('كل الفرص'!$B$5:$B$400,A30,'كل الفرص'!$K$5:$K$400,"قُدِّم")+COUNTIFS('كل الفرص'!$B$5:$B$400,A30,'كل الفرص'!$K$5:$K$400,"تم التواصل – بانتظار الرد")</f>
        <v>0</v>
      </c>
      <c r="D30" s="14"/>
    </row>
    <row r="31" customFormat="false" ht="15" hidden="false" customHeight="false" outlineLevel="0" collapsed="false">
      <c r="A31" s="14" t="s">
        <v>587</v>
      </c>
      <c r="B31" s="9" t="n">
        <f aca="false">COUNTIF('كل الفرص'!$B$5:$B$400,A31)</f>
        <v>1</v>
      </c>
      <c r="C31" s="9" t="n">
        <f aca="false">COUNTIFS('كل الفرص'!$B$5:$B$400,A31,'كل الفرص'!$K$5:$K$400,"قُدِّم")+COUNTIFS('كل الفرص'!$B$5:$B$400,A31,'كل الفرص'!$K$5:$K$400,"تم التواصل – بانتظار الرد")</f>
        <v>0</v>
      </c>
      <c r="D31" s="14"/>
    </row>
    <row r="32" customFormat="false" ht="15" hidden="false" customHeight="false" outlineLevel="0" collapsed="false">
      <c r="A32" s="14" t="s">
        <v>594</v>
      </c>
      <c r="B32" s="9" t="n">
        <f aca="false">COUNTIF('كل الفرص'!$B$5:$B$400,A32)</f>
        <v>2</v>
      </c>
      <c r="C32" s="9" t="n">
        <f aca="false">COUNTIFS('كل الفرص'!$B$5:$B$400,A32,'كل الفرص'!$K$5:$K$400,"قُدِّم")+COUNTIFS('كل الفرص'!$B$5:$B$400,A32,'كل الفرص'!$K$5:$K$400,"تم التواصل – بانتظار الرد")</f>
        <v>0</v>
      </c>
      <c r="D32" s="14"/>
    </row>
    <row r="33" customFormat="false" ht="15" hidden="false" customHeight="false" outlineLevel="0" collapsed="false">
      <c r="A33" s="14" t="s">
        <v>600</v>
      </c>
      <c r="B33" s="9" t="n">
        <f aca="false">COUNTIF('كل الفرص'!$B$5:$B$400,A33)</f>
        <v>2</v>
      </c>
      <c r="C33" s="9" t="n">
        <f aca="false">COUNTIFS('كل الفرص'!$B$5:$B$400,A33,'كل الفرص'!$K$5:$K$400,"قُدِّم")+COUNTIFS('كل الفرص'!$B$5:$B$400,A33,'كل الفرص'!$K$5:$K$400,"تم التواصل – بانتظار الرد")</f>
        <v>0</v>
      </c>
      <c r="D3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0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19" t="s">
        <v>720</v>
      </c>
      <c r="B1" s="20"/>
      <c r="C1" s="20"/>
    </row>
    <row r="2" customFormat="false" ht="15" hidden="false" customHeight="true" outlineLevel="0" collapsed="false">
      <c r="A2" s="2" t="s">
        <v>721</v>
      </c>
      <c r="B2" s="21" t="s">
        <v>722</v>
      </c>
      <c r="C2" s="21"/>
    </row>
    <row r="3" customFormat="false" ht="15" hidden="false" customHeight="true" outlineLevel="0" collapsed="false">
      <c r="A3" s="2" t="s">
        <v>723</v>
      </c>
      <c r="B3" s="21" t="s">
        <v>724</v>
      </c>
      <c r="C3" s="21"/>
    </row>
    <row r="4" customFormat="false" ht="15" hidden="false" customHeight="true" outlineLevel="0" collapsed="false">
      <c r="A4" s="2" t="s">
        <v>725</v>
      </c>
      <c r="B4" s="21" t="s">
        <v>726</v>
      </c>
      <c r="C4" s="21"/>
    </row>
    <row r="5" customFormat="false" ht="15" hidden="false" customHeight="true" outlineLevel="0" collapsed="false">
      <c r="A5" s="2" t="s">
        <v>727</v>
      </c>
      <c r="B5" s="21" t="s">
        <v>728</v>
      </c>
      <c r="C5" s="21"/>
    </row>
    <row r="6" customFormat="false" ht="15" hidden="false" customHeight="true" outlineLevel="0" collapsed="false">
      <c r="A6" s="2" t="s">
        <v>729</v>
      </c>
      <c r="B6" s="21" t="s">
        <v>730</v>
      </c>
      <c r="C6" s="21"/>
    </row>
    <row r="7" customFormat="false" ht="15" hidden="false" customHeight="true" outlineLevel="0" collapsed="false">
      <c r="A7" s="2" t="s">
        <v>731</v>
      </c>
      <c r="B7" s="21" t="s">
        <v>732</v>
      </c>
      <c r="C7" s="21"/>
    </row>
    <row r="8" customFormat="false" ht="15" hidden="false" customHeight="true" outlineLevel="0" collapsed="false">
      <c r="A8" s="2" t="s">
        <v>733</v>
      </c>
      <c r="B8" s="21" t="s">
        <v>734</v>
      </c>
      <c r="C8" s="21"/>
    </row>
    <row r="9" customFormat="false" ht="15" hidden="false" customHeight="true" outlineLevel="0" collapsed="false">
      <c r="A9" s="2" t="s">
        <v>735</v>
      </c>
      <c r="B9" s="21" t="s">
        <v>736</v>
      </c>
      <c r="C9" s="21"/>
    </row>
    <row r="11" customFormat="false" ht="15" hidden="false" customHeight="false" outlineLevel="0" collapsed="false">
      <c r="A11" s="19" t="s">
        <v>737</v>
      </c>
      <c r="B11" s="20"/>
      <c r="C11" s="20"/>
    </row>
    <row r="12" customFormat="false" ht="15" hidden="false" customHeight="false" outlineLevel="0" collapsed="false">
      <c r="A12" s="10" t="s">
        <v>738</v>
      </c>
      <c r="B12" s="10" t="s">
        <v>739</v>
      </c>
      <c r="C12" s="10"/>
    </row>
    <row r="13" customFormat="false" ht="15" hidden="false" customHeight="false" outlineLevel="0" collapsed="false">
      <c r="A13" s="10" t="s">
        <v>740</v>
      </c>
      <c r="B13" s="10" t="s">
        <v>741</v>
      </c>
      <c r="C13" s="10" t="s">
        <v>742</v>
      </c>
    </row>
    <row r="14" customFormat="false" ht="15" hidden="false" customHeight="false" outlineLevel="0" collapsed="false">
      <c r="A14" s="10" t="s">
        <v>618</v>
      </c>
      <c r="B14" s="10" t="s">
        <v>743</v>
      </c>
      <c r="C14" s="10" t="s">
        <v>744</v>
      </c>
    </row>
    <row r="15" customFormat="false" ht="15" hidden="false" customHeight="false" outlineLevel="0" collapsed="false">
      <c r="A15" s="10" t="s">
        <v>745</v>
      </c>
      <c r="B15" s="10" t="s">
        <v>746</v>
      </c>
      <c r="C15" s="10" t="s">
        <v>747</v>
      </c>
    </row>
    <row r="16" customFormat="false" ht="15" hidden="false" customHeight="false" outlineLevel="0" collapsed="false">
      <c r="A16" s="10" t="s">
        <v>748</v>
      </c>
      <c r="B16" s="10" t="s">
        <v>749</v>
      </c>
      <c r="C16" s="10"/>
    </row>
    <row r="18" customFormat="false" ht="15" hidden="false" customHeight="false" outlineLevel="0" collapsed="false">
      <c r="A18" s="19" t="s">
        <v>750</v>
      </c>
      <c r="B18" s="20"/>
      <c r="C18" s="20"/>
    </row>
    <row r="19" customFormat="false" ht="15" hidden="false" customHeight="false" outlineLevel="0" collapsed="false">
      <c r="A19" s="10" t="s">
        <v>751</v>
      </c>
      <c r="B19" s="10" t="s">
        <v>752</v>
      </c>
      <c r="C19" s="10"/>
    </row>
    <row r="20" customFormat="false" ht="15" hidden="false" customHeight="false" outlineLevel="0" collapsed="false">
      <c r="A20" s="10" t="s">
        <v>753</v>
      </c>
      <c r="B20" s="10" t="s">
        <v>389</v>
      </c>
      <c r="C20" s="10" t="s">
        <v>754</v>
      </c>
    </row>
    <row r="21" customFormat="false" ht="15" hidden="false" customHeight="false" outlineLevel="0" collapsed="false">
      <c r="A21" s="10" t="s">
        <v>755</v>
      </c>
      <c r="B21" s="10" t="s">
        <v>291</v>
      </c>
      <c r="C21" s="10"/>
    </row>
    <row r="22" customFormat="false" ht="15" hidden="false" customHeight="false" outlineLevel="0" collapsed="false">
      <c r="A22" s="10" t="s">
        <v>756</v>
      </c>
      <c r="B22" s="10" t="s">
        <v>89</v>
      </c>
      <c r="C22" s="10"/>
    </row>
    <row r="23" customFormat="false" ht="15" hidden="false" customHeight="false" outlineLevel="0" collapsed="false">
      <c r="A23" s="10" t="s">
        <v>757</v>
      </c>
      <c r="B23" s="10" t="s">
        <v>429</v>
      </c>
      <c r="C23" s="10"/>
    </row>
  </sheetData>
  <mergeCells count="8"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36"/>
  </cols>
  <sheetData>
    <row r="1" customFormat="false" ht="15" hidden="false" customHeight="false" outlineLevel="0" collapsed="false">
      <c r="A1" s="13" t="s">
        <v>758</v>
      </c>
      <c r="B1" s="13" t="s">
        <v>759</v>
      </c>
      <c r="C1" s="13" t="s">
        <v>760</v>
      </c>
    </row>
    <row r="2" customFormat="false" ht="15" hidden="false" customHeight="false" outlineLevel="0" collapsed="false">
      <c r="A2" s="14" t="s">
        <v>761</v>
      </c>
      <c r="B2" s="14" t="s">
        <v>125</v>
      </c>
      <c r="C2" s="14" t="s">
        <v>762</v>
      </c>
    </row>
    <row r="3" customFormat="false" ht="15" hidden="false" customHeight="false" outlineLevel="0" collapsed="false">
      <c r="A3" s="14" t="s">
        <v>763</v>
      </c>
      <c r="B3" s="14" t="s">
        <v>764</v>
      </c>
      <c r="C3" s="14" t="s">
        <v>765</v>
      </c>
    </row>
    <row r="4" customFormat="false" ht="15" hidden="false" customHeight="false" outlineLevel="0" collapsed="false">
      <c r="A4" s="14" t="s">
        <v>766</v>
      </c>
      <c r="B4" s="14" t="s">
        <v>767</v>
      </c>
      <c r="C4" s="14" t="s">
        <v>768</v>
      </c>
    </row>
    <row r="5" customFormat="false" ht="15" hidden="false" customHeight="false" outlineLevel="0" collapsed="false">
      <c r="A5" s="14" t="s">
        <v>769</v>
      </c>
      <c r="B5" s="14" t="s">
        <v>770</v>
      </c>
      <c r="C5" s="14" t="s">
        <v>762</v>
      </c>
    </row>
    <row r="6" customFormat="false" ht="15" hidden="false" customHeight="false" outlineLevel="0" collapsed="false">
      <c r="A6" s="14" t="s">
        <v>771</v>
      </c>
      <c r="B6" s="14" t="s">
        <v>530</v>
      </c>
      <c r="C6" s="14" t="s">
        <v>772</v>
      </c>
    </row>
    <row r="7" customFormat="false" ht="15" hidden="false" customHeight="false" outlineLevel="0" collapsed="false">
      <c r="A7" s="14" t="s">
        <v>773</v>
      </c>
      <c r="B7" s="14" t="s">
        <v>85</v>
      </c>
      <c r="C7" s="14" t="s">
        <v>762</v>
      </c>
    </row>
    <row r="8" customFormat="false" ht="15" hidden="false" customHeight="false" outlineLevel="0" collapsed="false">
      <c r="A8" s="14" t="s">
        <v>774</v>
      </c>
      <c r="B8" s="14" t="s">
        <v>775</v>
      </c>
      <c r="C8" s="14" t="s">
        <v>772</v>
      </c>
    </row>
    <row r="9" customFormat="false" ht="15" hidden="false" customHeight="false" outlineLevel="0" collapsed="false">
      <c r="A9" s="14" t="s">
        <v>776</v>
      </c>
      <c r="B9" s="14" t="s">
        <v>129</v>
      </c>
      <c r="C9" s="14" t="s">
        <v>772</v>
      </c>
    </row>
    <row r="10" customFormat="false" ht="15" hidden="false" customHeight="false" outlineLevel="0" collapsed="false">
      <c r="A10" s="14" t="s">
        <v>777</v>
      </c>
      <c r="B10" s="14" t="s">
        <v>206</v>
      </c>
      <c r="C10" s="14" t="s">
        <v>772</v>
      </c>
    </row>
    <row r="11" customFormat="false" ht="15" hidden="false" customHeight="false" outlineLevel="0" collapsed="false">
      <c r="A11" s="14" t="s">
        <v>778</v>
      </c>
      <c r="B11" s="14" t="s">
        <v>246</v>
      </c>
      <c r="C11" s="14" t="s">
        <v>772</v>
      </c>
    </row>
    <row r="12" customFormat="false" ht="15" hidden="false" customHeight="false" outlineLevel="0" collapsed="false">
      <c r="A12" s="14" t="s">
        <v>779</v>
      </c>
      <c r="B12" s="14" t="s">
        <v>166</v>
      </c>
      <c r="C12" s="14" t="s">
        <v>772</v>
      </c>
    </row>
    <row r="13" customFormat="false" ht="15" hidden="false" customHeight="false" outlineLevel="0" collapsed="false">
      <c r="A13" s="14" t="s">
        <v>780</v>
      </c>
      <c r="B13" s="14" t="s">
        <v>417</v>
      </c>
      <c r="C13" s="14" t="s">
        <v>762</v>
      </c>
    </row>
    <row r="14" customFormat="false" ht="15" hidden="false" customHeight="false" outlineLevel="0" collapsed="false">
      <c r="A14" s="14" t="s">
        <v>781</v>
      </c>
      <c r="B14" s="14" t="s">
        <v>125</v>
      </c>
      <c r="C14" s="14" t="s">
        <v>782</v>
      </c>
    </row>
    <row r="15" customFormat="false" ht="15" hidden="false" customHeight="false" outlineLevel="0" collapsed="false">
      <c r="A15" s="14" t="s">
        <v>783</v>
      </c>
      <c r="B15" s="14" t="s">
        <v>125</v>
      </c>
      <c r="C15" s="14" t="s">
        <v>762</v>
      </c>
    </row>
    <row r="16" customFormat="false" ht="15" hidden="false" customHeight="false" outlineLevel="0" collapsed="false">
      <c r="A16" s="14" t="s">
        <v>784</v>
      </c>
      <c r="B16" s="14" t="s">
        <v>785</v>
      </c>
      <c r="C16" s="14" t="s">
        <v>786</v>
      </c>
    </row>
    <row r="17" customFormat="false" ht="15" hidden="false" customHeight="false" outlineLevel="0" collapsed="false">
      <c r="A17" s="14" t="s">
        <v>787</v>
      </c>
      <c r="B17" s="14" t="s">
        <v>417</v>
      </c>
      <c r="C17" s="14" t="s">
        <v>788</v>
      </c>
    </row>
    <row r="18" customFormat="false" ht="15" hidden="false" customHeight="false" outlineLevel="0" collapsed="false">
      <c r="A18" s="14" t="s">
        <v>789</v>
      </c>
      <c r="B18" s="14" t="s">
        <v>417</v>
      </c>
      <c r="C18" s="14" t="s">
        <v>790</v>
      </c>
    </row>
    <row r="19" customFormat="false" ht="15" hidden="false" customHeight="false" outlineLevel="0" collapsed="false">
      <c r="A19" s="14" t="s">
        <v>791</v>
      </c>
      <c r="B19" s="14" t="s">
        <v>792</v>
      </c>
      <c r="C19" s="14" t="s">
        <v>793</v>
      </c>
    </row>
    <row r="20" customFormat="false" ht="15" hidden="false" customHeight="false" outlineLevel="0" collapsed="false">
      <c r="A20" s="14" t="s">
        <v>794</v>
      </c>
      <c r="B20" s="14" t="s">
        <v>795</v>
      </c>
      <c r="C20" s="14" t="s">
        <v>793</v>
      </c>
    </row>
    <row r="21" customFormat="false" ht="15" hidden="false" customHeight="false" outlineLevel="0" collapsed="false">
      <c r="A21" s="14" t="s">
        <v>796</v>
      </c>
      <c r="B21" s="14" t="s">
        <v>28</v>
      </c>
      <c r="C21" s="14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2026-10-07T12:57:01Z</dcterms:created>
  <dc:creator>openpyxl</dc:creator>
  <dc:description/>
  <dc:language>en-US</dc:language>
  <cp:lastModifiedBy/>
  <dcterms:modified xsi:type="dcterms:W3CDTF">2026-10-07T12:57:01Z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